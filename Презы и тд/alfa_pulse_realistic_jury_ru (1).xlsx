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26a9c0596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3502dae9724649"/>
    <x:sheet xmlns:r="http://schemas.openxmlformats.org/officeDocument/2006/relationships" name="Inputs" sheetId="2" r:id="Reac4cbf50bd34865"/>
    <x:sheet xmlns:r="http://schemas.openxmlformats.org/officeDocument/2006/relationships" name="Sources" sheetId="3" r:id="R343d492f08854366"/>
    <x:sheet xmlns:r="http://schemas.openxmlformats.org/officeDocument/2006/relationships" name="Build_Cost" sheetId="4" r:id="Rd9266c67cb054cd3"/>
    <x:sheet xmlns:r="http://schemas.openxmlformats.org/officeDocument/2006/relationships" name="Run_Cost" sheetId="5" r:id="R982432323fa04756"/>
    <x:sheet xmlns:r="http://schemas.openxmlformats.org/officeDocument/2006/relationships" name="Benefits" sheetId="6" r:id="Rd20f463a85284040"/>
    <x:sheet xmlns:r="http://schemas.openxmlformats.org/officeDocument/2006/relationships" name="Scenarios" sheetId="7" r:id="Rcd5283f4880346fe"/>
    <x:sheet xmlns:r="http://schemas.openxmlformats.org/officeDocument/2006/relationships" name="Checks" sheetId="8" r:id="Rbb569202ee0a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₽#,##0;[Green](₽#,##0);-"/>
    <x:numFmt numFmtId="201" formatCode="0.0%;[Green](0.0%);-"/>
    <x:numFmt numFmtId="202" formatCode="0.00%;[Green](0.00%);-"/>
    <x:numFmt numFmtId="203" formatCode="0.0x;[Green](0.0x);-"/>
    <x:numFmt numFmtId="204" formatCode="#,##0;[Green](#,##0);-"/>
  </x:numFmts>
  <x:fonts count="3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66666"/>
      <x:name val="Carlito"/>
    </x:font>
    <x:font>
      <x:i/>
      <x:sz val="11"/>
      <x:color rgb="FF666666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6"/>
      <x:color rgb="FFFFFFFF"/>
      <x:name val="Arial"/>
    </x:font>
    <x:font>
      <x:sz val="11"/>
      <x:name val="Arial"/>
    </x:font>
    <x:font>
      <x:i/>
      <x:sz val="11"/>
      <x:color rgb="FF666666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666666"/>
      <x:name val="Arial"/>
    </x:font>
    <x:font>
      <x:b/>
      <x:sz val="10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8000"/>
      <x:name val="Arial"/>
    </x:font>
    <x:font>
      <x:b/>
      <x:sz val="11"/>
      <x:color rgb="FF0000FF"/>
      <x:name val="Arial"/>
    </x:font>
    <x:font>
      <x:b/>
      <x:sz val="10"/>
      <x:color rgb="FF0000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i/>
      <x:sz val="10"/>
      <x:color rgb="FF1F1F1F"/>
      <x:name val="Arial"/>
    </x:font>
    <x:font>
      <x:sz val="10"/>
      <x:color rgb="FFFFFFFF"/>
      <x:name val="Arial"/>
    </x:font>
    <x:font>
      <x:b/>
      <x:sz val="18"/>
      <x:color rgb="FFFFFFFF"/>
      <x:name val="Arial"/>
    </x:font>
    <x:font>
      <x:b/>
      <x:sz val="18"/>
      <x:color rgb="FFFFFFFF"/>
      <x:name val="Carlito"/>
    </x:font>
    <x:font>
      <x:sz val="10"/>
      <x:color rgb="FF666666"/>
      <x:name val="Arial"/>
    </x:font>
    <x:font>
      <x:sz val="11"/>
      <x:color rgb="FF1F1F1F"/>
      <x:name val="Carlito"/>
    </x:font>
    <x:font>
      <x:b/>
      <x:sz val="11"/>
      <x:color rgb="FF1F1F1F"/>
      <x:name val="Carlito"/>
    </x:font>
    <x:font>
      <x:sz val="10"/>
      <x:color rgb="FF1B5E20"/>
      <x:name val="Arial"/>
    </x:font>
    <x:font>
      <x:sz val="11"/>
      <x:color rgb="FF1B5E2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1B5E20"/>
      </x:patternFill>
    </x:fill>
    <x:fill>
      <x:patternFill patternType="solid">
        <x:fgColor rgb="FF43A047"/>
      </x:patternFill>
    </x:fill>
    <x:fill>
      <x:patternFill patternType="solid">
        <x:fgColor rgb="FFC8E6C9"/>
      </x:patternFill>
    </x:fill>
    <x:fill>
      <x:patternFill patternType="solid">
        <x:fgColor rgb="FFE8F5E9"/>
      </x:patternFill>
    </x:fill>
    <x:fill>
      <x:patternFill patternType="solid">
        <x:fgColor rgb="FFF1F8E9"/>
      </x:patternFill>
    </x:fill>
    <x:fill>
      <x:patternFill patternType="solid">
        <x:fgColor rgb="FFF1F8E9"/>
      </x:patternFill>
    </x:fill>
    <x:fill>
      <x:patternFill patternType="solid">
        <x:fgColor rgb="FFE8F5E9"/>
      </x:patternFill>
    </x:fill>
  </x:fills>
  <x:borders count="2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A5D6A7"/>
      </x:right>
      <x:bottom style="thin">
        <x:color rgb="FFA5D6A7"/>
      </x:bottom>
    </x:border>
    <x:border>
      <x:left style="thin">
        <x:color rgb="FFA5D6A7"/>
      </x:left>
      <x:right style="thin">
        <x:color rgb="FFA5D6A7"/>
      </x:right>
      <x:bottom style="thin">
        <x:color rgb="FFA5D6A7"/>
      </x:bottom>
    </x:border>
    <x:border>
      <x:left style="thin">
        <x:color rgb="FFA5D6A7"/>
      </x:left>
      <x:bottom style="thin">
        <x:color rgb="FFA5D6A7"/>
      </x:bottom>
    </x:border>
    <x:border>
      <x:right style="thin">
        <x:color rgb="FFA5D6A7"/>
      </x:right>
      <x:top style="thin">
        <x:color rgb="FFA5D6A7"/>
      </x:top>
      <x:bottom style="thin">
        <x:color rgb="FFA5D6A7"/>
      </x:bottom>
    </x:border>
    <x:border>
      <x:left style="thin">
        <x:color rgb="FFA5D6A7"/>
      </x:left>
      <x:right style="thin">
        <x:color rgb="FFA5D6A7"/>
      </x:right>
      <x:top style="thin">
        <x:color rgb="FFA5D6A7"/>
      </x:top>
      <x:bottom style="thin">
        <x:color rgb="FFA5D6A7"/>
      </x:bottom>
    </x:border>
    <x:border>
      <x:left style="thin">
        <x:color rgb="FFA5D6A7"/>
      </x:left>
      <x:top style="thin">
        <x:color rgb="FFA5D6A7"/>
      </x:top>
      <x:bottom style="thin">
        <x:color rgb="FFA5D6A7"/>
      </x:bottom>
    </x:border>
    <x:border>
      <x:left style="thin">
        <x:color rgb="FFD9E2F3"/>
      </x:left>
      <x:right style="thin">
        <x:color rgb="FFA5D6A7"/>
      </x:right>
      <x:top style="thin">
        <x:color rgb="FFA5D6A7"/>
      </x:top>
      <x:bottom style="thin">
        <x:color rgb="FFA5D6A7"/>
      </x:bottom>
    </x:border>
    <x:border>
      <x:left style="thin">
        <x:color rgb="FFA5D6A7"/>
      </x:left>
      <x:right style="thin">
        <x:color rgb="FFD9E2F3"/>
      </x:right>
      <x:top style="thin">
        <x:color rgb="FFA5D6A7"/>
      </x:top>
      <x:bottom style="thin">
        <x:color rgb="FFA5D6A7"/>
      </x:bottom>
    </x:border>
    <x:border>
      <x:right style="thin">
        <x:color rgb="FFA5D6A7"/>
      </x:right>
      <x:top style="thin">
        <x:color rgb="FFA5D6A7"/>
      </x:top>
    </x:border>
    <x:border>
      <x:left style="thin">
        <x:color rgb="FFA5D6A7"/>
      </x:left>
      <x:right style="thin">
        <x:color rgb="FFA5D6A7"/>
      </x:right>
      <x:top style="thin">
        <x:color rgb="FFA5D6A7"/>
      </x:top>
    </x:border>
    <x:border>
      <x:left style="thin">
        <x:color rgb="FFA5D6A7"/>
      </x:left>
      <x:top style="thin">
        <x:color rgb="FFA5D6A7"/>
      </x:top>
    </x:border>
  </x:borders>
  <x:cellStyleXfs count="1">
    <x:xf numFmtId="0" fontId="0" fillId="0" borderId="0"/>
  </x:cellStyleXfs>
  <x:cellXfs count="5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8" fillId="0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5" xfId="0" applyNumberFormat="1" applyFont="1" applyFill="1" applyBorder="1"/>
    <x:xf numFmtId="0" fontId="9" fillId="5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8" xfId="0" applyNumberFormat="1" applyFont="1" applyFill="1" applyBorder="1"/>
    <x:xf numFmtId="0" fontId="6" fillId="4" borderId="2" xfId="0" applyNumberFormat="1" applyFont="1" applyFill="1" applyBorder="1"/>
    <x:xf numFmtId="0" fontId="6" fillId="4" borderId="5" xfId="0" applyNumberFormat="1" applyFont="1" applyFill="1" applyBorder="1"/>
    <x:xf numFmtId="0" fontId="6" fillId="4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6" fillId="4" borderId="5" xfId="0" applyNumberFormat="1" applyFont="1" applyFill="1" applyBorder="1" applyAlignment="1">
      <x:alignment wrapText="1"/>
    </x:xf>
    <x:xf numFmtId="200" fontId="6" fillId="4" borderId="8" xfId="0" applyNumberFormat="1" applyFont="1" applyFill="1" applyBorder="1" applyAlignment="1">
      <x:alignment wrapText="1"/>
    </x:xf>
    <x:xf numFmtId="201" fontId="6" fillId="4" borderId="5" xfId="0" applyNumberFormat="1" applyFont="1" applyFill="1" applyBorder="1" applyAlignment="1">
      <x:alignment wrapText="1"/>
    </x:xf>
    <x:xf numFmtId="202" fontId="6" fillId="4" borderId="5" xfId="0" applyNumberFormat="1" applyFont="1" applyFill="1" applyBorder="1" applyAlignment="1">
      <x:alignment wrapText="1"/>
    </x:xf>
    <x:xf numFmtId="203" fontId="6" fillId="4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right" wrapText="1"/>
    </x:xf>
    <x:xf numFmtId="0" fontId="0" fillId="0" borderId="5" xfId="0" applyNumberFormat="1" applyFont="1" applyFill="1" applyBorder="1" applyAlignment="1">
      <x:alignment horizontal="right" wrapText="1"/>
    </x:xf>
    <x:xf numFmtId="0" fontId="0" fillId="0" borderId="8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/>
    </x:xf>
    <x:xf numFmtId="200" fontId="6" fillId="4" borderId="2" xfId="0" applyNumberFormat="1" applyFont="1" applyFill="1" applyBorder="1"/>
    <x:xf numFmtId="200" fontId="6" fillId="4" borderId="5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6" fillId="4" borderId="8" xfId="0" applyNumberFormat="1" applyFont="1" applyFill="1" applyBorder="1"/>
    <x:xf numFmtId="204" fontId="6" fillId="4" borderId="2" xfId="0" applyNumberFormat="1" applyFont="1" applyFill="1" applyBorder="1"/>
    <x:xf numFmtId="204" fontId="6" fillId="4" borderId="5" xfId="0" applyNumberFormat="1" applyFont="1" applyFill="1" applyBorder="1"/>
    <x:xf numFmtId="0" fontId="0" fillId="6" borderId="4" xfId="0" applyNumberFormat="1" applyFont="1" applyFill="1" applyBorder="1"/>
    <x:xf numFmtId="0" fontId="6" fillId="6" borderId="5" xfId="0" applyNumberFormat="1" applyFont="1" applyFill="1" applyBorder="1"/>
    <x:xf numFmtId="20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200" fontId="6" fillId="6" borderId="8" xfId="0" applyNumberFormat="1" applyFont="1" applyFill="1" applyBorder="1"/>
    <x:xf numFmtId="0" fontId="0" fillId="6" borderId="9" xfId="0" applyNumberFormat="1" applyFont="1" applyFill="1" applyBorder="1"/>
    <x:xf numFmtId="0" fontId="9" fillId="6" borderId="4" xfId="0" applyNumberFormat="1" applyFont="1" applyFill="1" applyBorder="1"/>
    <x:xf numFmtId="0" fontId="10" fillId="6" borderId="5" xfId="0" applyNumberFormat="1" applyFont="1" applyFill="1" applyBorder="1"/>
    <x:xf numFmtId="20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200" fontId="10" fillId="6" borderId="8" xfId="0" applyNumberFormat="1" applyFont="1" applyFill="1" applyBorder="1"/>
    <x:xf numFmtId="0" fontId="9" fillId="6" borderId="9" xfId="0" applyNumberFormat="1" applyFont="1" applyFill="1" applyBorder="1"/>
    <x:xf numFmtId="200" fontId="0" fillId="0" borderId="8" xfId="0" applyNumberFormat="1" applyFont="1" applyFill="1" applyBorder="1"/>
    <x:xf numFmtId="0" fontId="0" fillId="6" borderId="5" xfId="0" applyNumberFormat="1" applyFont="1" applyFill="1" applyBorder="1"/>
    <x:xf numFmtId="200" fontId="0" fillId="6" borderId="8" xfId="0" applyNumberFormat="1" applyFont="1" applyFill="1" applyBorder="1"/>
    <x:xf numFmtId="0" fontId="9" fillId="6" borderId="5" xfId="0" applyNumberFormat="1" applyFont="1" applyFill="1" applyBorder="1"/>
    <x:xf numFmtId="200" fontId="9" fillId="6" borderId="8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6" borderId="5" xfId="0" applyNumberFormat="1" applyFont="1" applyFill="1" applyBorder="1"/>
    <x:xf numFmtId="201" fontId="9" fillId="6" borderId="5" xfId="0" applyNumberFormat="1" applyFont="1" applyFill="1" applyBorder="1"/>
    <x:xf numFmtId="201" fontId="0" fillId="0" borderId="2" xfId="0" applyNumberFormat="1" applyFont="1" applyFill="1" applyBorder="1"/>
    <x:xf numFmtId="204" fontId="0" fillId="0" borderId="8" xfId="0" applyNumberFormat="1" applyFont="1" applyFill="1" applyBorder="1"/>
    <x:xf numFmtId="0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4" xfId="0" applyNumberFormat="1" applyFont="1" applyFill="1" applyBorder="1"/>
    <x:xf numFmtId="0" fontId="9" fillId="0" borderId="7" xfId="0" applyNumberFormat="1" applyFont="1" applyFill="1" applyBorder="1"/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3" borderId="0" xfId="0" applyNumberFormat="1" applyFont="1" applyFill="1" applyBorder="1"/>
    <x:xf numFmtId="0" fontId="15" fillId="5" borderId="5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200" fontId="12" fillId="0" borderId="2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2" fillId="0" borderId="4" xfId="0" applyNumberFormat="1" applyFont="1" applyFill="1" applyBorder="1"/>
    <x:xf numFmtId="200" fontId="12" fillId="0" borderId="5" xfId="0" applyNumberFormat="1" applyFont="1" applyFill="1" applyBorder="1"/>
    <x:xf numFmtId="0" fontId="12" fillId="0" borderId="5" xfId="0" applyNumberFormat="1" applyFont="1" applyFill="1" applyBorder="1"/>
    <x:xf numFmtId="0" fontId="12" fillId="0" borderId="6" xfId="0" applyNumberFormat="1" applyFont="1" applyFill="1" applyBorder="1"/>
    <x:xf numFmtId="201" fontId="12" fillId="0" borderId="5" xfId="0" applyNumberFormat="1" applyFont="1" applyFill="1" applyBorder="1"/>
    <x:xf numFmtId="204" fontId="12" fillId="0" borderId="5" xfId="0" applyNumberFormat="1" applyFont="1" applyFill="1" applyBorder="1"/>
    <x:xf numFmtId="0" fontId="12" fillId="0" borderId="7" xfId="0" applyNumberFormat="1" applyFont="1" applyFill="1" applyBorder="1"/>
    <x:xf numFmtId="204" fontId="12" fillId="0" borderId="8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5" fillId="0" borderId="1" xfId="0" applyNumberFormat="1" applyFont="1" applyFill="1" applyBorder="1"/>
    <x:xf numFmtId="0" fontId="12" fillId="0" borderId="2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wrapText="1"/>
    </x:xf>
    <x:xf numFmtId="0" fontId="15" fillId="0" borderId="4" xfId="0" applyNumberFormat="1" applyFont="1" applyFill="1" applyBorder="1"/>
    <x:xf numFmtId="0" fontId="12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5" fillId="0" borderId="7" xfId="0" applyNumberFormat="1" applyFont="1" applyFill="1" applyBorder="1"/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6" fillId="2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6" fillId="3" borderId="0" xfId="0" applyNumberFormat="1" applyFont="1" applyFill="1" applyBorder="1"/>
    <x:xf numFmtId="0" fontId="19" fillId="5" borderId="5" xfId="0" applyNumberFormat="1" applyFont="1" applyFill="1" applyBorder="1" applyAlignment="1">
      <x:alignment wrapText="1"/>
    </x:xf>
    <x:xf numFmtId="0" fontId="17" fillId="0" borderId="1" xfId="0" applyNumberFormat="1" applyFont="1" applyFill="1" applyBorder="1"/>
    <x:xf numFmtId="200" fontId="17" fillId="0" borderId="2" xfId="0" applyNumberFormat="1" applyFont="1" applyFill="1" applyBorder="1"/>
    <x:xf numFmtId="0" fontId="17" fillId="0" borderId="2" xfId="0" applyNumberFormat="1" applyFont="1" applyFill="1" applyBorder="1"/>
    <x:xf numFmtId="0" fontId="17" fillId="0" borderId="3" xfId="0" applyNumberFormat="1" applyFont="1" applyFill="1" applyBorder="1"/>
    <x:xf numFmtId="0" fontId="17" fillId="0" borderId="4" xfId="0" applyNumberFormat="1" applyFont="1" applyFill="1" applyBorder="1"/>
    <x:xf numFmtId="200" fontId="17" fillId="0" borderId="5" xfId="0" applyNumberFormat="1" applyFont="1" applyFill="1" applyBorder="1"/>
    <x:xf numFmtId="0" fontId="17" fillId="0" borderId="5" xfId="0" applyNumberFormat="1" applyFont="1" applyFill="1" applyBorder="1"/>
    <x:xf numFmtId="0" fontId="17" fillId="0" borderId="6" xfId="0" applyNumberFormat="1" applyFont="1" applyFill="1" applyBorder="1"/>
    <x:xf numFmtId="201" fontId="17" fillId="0" borderId="5" xfId="0" applyNumberFormat="1" applyFont="1" applyFill="1" applyBorder="1"/>
    <x:xf numFmtId="204" fontId="17" fillId="0" borderId="5" xfId="0" applyNumberFormat="1" applyFont="1" applyFill="1" applyBorder="1"/>
    <x:xf numFmtId="0" fontId="17" fillId="0" borderId="7" xfId="0" applyNumberFormat="1" applyFont="1" applyFill="1" applyBorder="1"/>
    <x:xf numFmtId="204" fontId="17" fillId="0" borderId="8" xfId="0" applyNumberFormat="1" applyFont="1" applyFill="1" applyBorder="1"/>
    <x:xf numFmtId="0" fontId="17" fillId="0" borderId="8" xfId="0" applyNumberFormat="1" applyFont="1" applyFill="1" applyBorder="1"/>
    <x:xf numFmtId="0" fontId="17" fillId="0" borderId="9" xfId="0" applyNumberFormat="1" applyFont="1" applyFill="1" applyBorder="1"/>
    <x:xf numFmtId="0" fontId="19" fillId="0" borderId="1" xfId="0" applyNumberFormat="1" applyFont="1" applyFill="1" applyBorder="1"/>
    <x:xf numFmtId="0" fontId="17" fillId="0" borderId="2" xfId="0" applyNumberFormat="1" applyFont="1" applyFill="1" applyBorder="1" applyAlignment="1">
      <x:alignment wrapText="1"/>
    </x:xf>
    <x:xf numFmtId="0" fontId="17" fillId="0" borderId="3" xfId="0" applyNumberFormat="1" applyFont="1" applyFill="1" applyBorder="1" applyAlignment="1">
      <x:alignment wrapText="1"/>
    </x:xf>
    <x:xf numFmtId="0" fontId="19" fillId="0" borderId="4" xfId="0" applyNumberFormat="1" applyFont="1" applyFill="1" applyBorder="1"/>
    <x:xf numFmtId="0" fontId="17" fillId="0" borderId="5" xfId="0" applyNumberFormat="1" applyFont="1" applyFill="1" applyBorder="1" applyAlignment="1">
      <x:alignment wrapText="1"/>
    </x:xf>
    <x:xf numFmtId="0" fontId="17" fillId="0" borderId="6" xfId="0" applyNumberFormat="1" applyFont="1" applyFill="1" applyBorder="1" applyAlignment="1">
      <x:alignment wrapText="1"/>
    </x:xf>
    <x:xf numFmtId="0" fontId="19" fillId="0" borderId="7" xfId="0" applyNumberFormat="1" applyFont="1" applyFill="1" applyBorder="1"/>
    <x:xf numFmtId="0" fontId="17" fillId="0" borderId="8" xfId="0" applyNumberFormat="1" applyFont="1" applyFill="1" applyBorder="1" applyAlignment="1">
      <x:alignment wrapText="1"/>
    </x:xf>
    <x:xf numFmtId="0" fontId="17" fillId="0" borderId="9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vertical="top"/>
    </x:xf>
    <x:xf numFmtId="0" fontId="17" fillId="0" borderId="0" xfId="0" applyNumberFormat="1" applyFont="1" applyFill="1" applyBorder="1" applyAlignment="1">
      <x:alignment vertical="top"/>
    </x:xf>
    <x:xf numFmtId="0" fontId="18" fillId="0" borderId="0" xfId="0" applyNumberFormat="1" applyFont="1" applyFill="1" applyBorder="1" applyAlignment="1">
      <x:alignment vertical="top"/>
    </x:xf>
    <x:xf numFmtId="0" fontId="16" fillId="3" borderId="0" xfId="0" applyNumberFormat="1" applyFont="1" applyFill="1" applyBorder="1" applyAlignment="1">
      <x:alignment vertical="top"/>
    </x:xf>
    <x:xf numFmtId="0" fontId="19" fillId="5" borderId="5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/>
    </x:xf>
    <x:xf numFmtId="200" fontId="17" fillId="0" borderId="2" xfId="0" applyNumberFormat="1" applyFont="1" applyFill="1" applyBorder="1" applyAlignment="1">
      <x:alignment vertical="top"/>
    </x:xf>
    <x:xf numFmtId="0" fontId="17" fillId="0" borderId="2" xfId="0" applyNumberFormat="1" applyFont="1" applyFill="1" applyBorder="1" applyAlignment="1">
      <x:alignment vertical="top"/>
    </x:xf>
    <x:xf numFmtId="0" fontId="17" fillId="0" borderId="3" xfId="0" applyNumberFormat="1" applyFont="1" applyFill="1" applyBorder="1" applyAlignment="1">
      <x:alignment vertical="top"/>
    </x:xf>
    <x:xf numFmtId="0" fontId="17" fillId="0" borderId="4" xfId="0" applyNumberFormat="1" applyFont="1" applyFill="1" applyBorder="1" applyAlignment="1">
      <x:alignment vertical="top"/>
    </x:xf>
    <x:xf numFmtId="200" fontId="17" fillId="0" borderId="5" xfId="0" applyNumberFormat="1" applyFont="1" applyFill="1" applyBorder="1" applyAlignment="1">
      <x:alignment vertical="top"/>
    </x:xf>
    <x:xf numFmtId="0" fontId="17" fillId="0" borderId="5" xfId="0" applyNumberFormat="1" applyFont="1" applyFill="1" applyBorder="1" applyAlignment="1">
      <x:alignment vertical="top"/>
    </x:xf>
    <x:xf numFmtId="0" fontId="17" fillId="0" borderId="6" xfId="0" applyNumberFormat="1" applyFont="1" applyFill="1" applyBorder="1" applyAlignment="1">
      <x:alignment vertical="top"/>
    </x:xf>
    <x:xf numFmtId="201" fontId="17" fillId="0" borderId="5" xfId="0" applyNumberFormat="1" applyFont="1" applyFill="1" applyBorder="1" applyAlignment="1">
      <x:alignment vertical="top"/>
    </x:xf>
    <x:xf numFmtId="204" fontId="17" fillId="0" borderId="5" xfId="0" applyNumberFormat="1" applyFont="1" applyFill="1" applyBorder="1" applyAlignment="1">
      <x:alignment vertical="top"/>
    </x:xf>
    <x:xf numFmtId="0" fontId="17" fillId="0" borderId="7" xfId="0" applyNumberFormat="1" applyFont="1" applyFill="1" applyBorder="1" applyAlignment="1">
      <x:alignment vertical="top"/>
    </x:xf>
    <x:xf numFmtId="204" fontId="17" fillId="0" borderId="8" xfId="0" applyNumberFormat="1" applyFont="1" applyFill="1" applyBorder="1" applyAlignment="1">
      <x:alignment vertical="top"/>
    </x:xf>
    <x:xf numFmtId="0" fontId="17" fillId="0" borderId="8" xfId="0" applyNumberFormat="1" applyFont="1" applyFill="1" applyBorder="1" applyAlignment="1">
      <x:alignment vertical="top"/>
    </x:xf>
    <x:xf numFmtId="0" fontId="17" fillId="0" borderId="9" xfId="0" applyNumberFormat="1" applyFont="1" applyFill="1" applyBorder="1" applyAlignment="1">
      <x:alignment vertical="top"/>
    </x:xf>
    <x:xf numFmtId="0" fontId="19" fillId="0" borderId="1" xfId="0" applyNumberFormat="1" applyFont="1" applyFill="1" applyBorder="1" applyAlignment="1">
      <x:alignment vertical="top"/>
    </x:xf>
    <x:xf numFmtId="0" fontId="17" fillId="0" borderId="2" xfId="0" applyNumberFormat="1" applyFont="1" applyFill="1" applyBorder="1" applyAlignment="1">
      <x:alignment vertical="top" wrapText="1"/>
    </x:xf>
    <x:xf numFmtId="0" fontId="17" fillId="0" borderId="3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/>
    </x:xf>
    <x:xf numFmtId="0" fontId="17" fillId="0" borderId="5" xfId="0" applyNumberFormat="1" applyFont="1" applyFill="1" applyBorder="1" applyAlignment="1">
      <x:alignment vertical="top" wrapText="1"/>
    </x:xf>
    <x:xf numFmtId="0" fontId="17" fillId="0" borderId="6" xfId="0" applyNumberFormat="1" applyFont="1" applyFill="1" applyBorder="1" applyAlignment="1">
      <x:alignment vertical="top" wrapText="1"/>
    </x:xf>
    <x:xf numFmtId="0" fontId="19" fillId="0" borderId="7" xfId="0" applyNumberFormat="1" applyFont="1" applyFill="1" applyBorder="1" applyAlignment="1">
      <x:alignment vertical="top"/>
    </x:xf>
    <x:xf numFmtId="0" fontId="17" fillId="0" borderId="8" xfId="0" applyNumberFormat="1" applyFont="1" applyFill="1" applyBorder="1" applyAlignment="1">
      <x:alignment vertical="top" wrapText="1"/>
    </x:xf>
    <x:xf numFmtId="0" fontId="17" fillId="0" borderId="9" xfId="0" applyNumberFormat="1" applyFont="1" applyFill="1" applyBorder="1" applyAlignment="1">
      <x:alignment vertical="top" wrapText="1"/>
    </x:xf>
    <x:xf numFmtId="0" fontId="20" fillId="4" borderId="1" xfId="0" applyNumberFormat="1" applyFont="1" applyFill="1" applyBorder="1"/>
    <x:xf numFmtId="0" fontId="21" fillId="0" borderId="4" xfId="0" applyNumberFormat="1" applyFont="1" applyFill="1" applyBorder="1"/>
    <x:xf numFmtId="0" fontId="22" fillId="0" borderId="4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20" fillId="4" borderId="2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201" fontId="20" fillId="4" borderId="5" xfId="0" applyNumberFormat="1" applyFont="1" applyFill="1" applyBorder="1" applyAlignment="1">
      <x:alignment wrapText="1"/>
    </x:xf>
    <x:xf numFmtId="0" fontId="20" fillId="4" borderId="5" xfId="0" applyNumberFormat="1" applyFont="1" applyFill="1" applyBorder="1" applyAlignment="1">
      <x:alignment wrapText="1"/>
    </x:xf>
    <x:xf numFmtId="203" fontId="20" fillId="4" borderId="5" xfId="0" applyNumberFormat="1" applyFont="1" applyFill="1" applyBorder="1" applyAlignment="1">
      <x:alignment wrapText="1"/>
    </x:xf>
    <x:xf numFmtId="200" fontId="20" fillId="4" borderId="5" xfId="0" applyNumberFormat="1" applyFont="1" applyFill="1" applyBorder="1" applyAlignment="1">
      <x:alignment wrapText="1"/>
    </x:xf>
    <x:xf numFmtId="202" fontId="20" fillId="4" borderId="5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200" fontId="20" fillId="4" borderId="8" xfId="0" applyNumberFormat="1" applyFont="1" applyFill="1" applyBorder="1" applyAlignment="1">
      <x:alignment wrapText="1"/>
    </x:xf>
    <x:xf numFmtId="0" fontId="23" fillId="4" borderId="1" xfId="0" applyNumberFormat="1" applyFont="1" applyFill="1" applyBorder="1"/>
    <x:xf numFmtId="0" fontId="24" fillId="0" borderId="4" xfId="0" applyNumberFormat="1" applyFont="1" applyFill="1" applyBorder="1"/>
    <x:xf numFmtId="0" fontId="25" fillId="0" borderId="4" xfId="0" applyNumberFormat="1" applyFont="1" applyFill="1" applyBorder="1"/>
    <x:xf numFmtId="0" fontId="17" fillId="0" borderId="1" xfId="0" applyNumberFormat="1" applyFont="1" applyFill="1" applyBorder="1" applyAlignment="1">
      <x:alignment wrapText="1"/>
    </x:xf>
    <x:xf numFmtId="0" fontId="23" fillId="4" borderId="2" xfId="0" applyNumberFormat="1" applyFont="1" applyFill="1" applyBorder="1" applyAlignment="1">
      <x:alignment wrapText="1"/>
    </x:xf>
    <x:xf numFmtId="0" fontId="17" fillId="0" borderId="4" xfId="0" applyNumberFormat="1" applyFont="1" applyFill="1" applyBorder="1" applyAlignment="1">
      <x:alignment wrapText="1"/>
    </x:xf>
    <x:xf numFmtId="201" fontId="23" fillId="4" borderId="5" xfId="0" applyNumberFormat="1" applyFont="1" applyFill="1" applyBorder="1" applyAlignment="1">
      <x:alignment wrapText="1"/>
    </x:xf>
    <x:xf numFmtId="0" fontId="23" fillId="4" borderId="5" xfId="0" applyNumberFormat="1" applyFont="1" applyFill="1" applyBorder="1" applyAlignment="1">
      <x:alignment wrapText="1"/>
    </x:xf>
    <x:xf numFmtId="203" fontId="23" fillId="4" borderId="5" xfId="0" applyNumberFormat="1" applyFont="1" applyFill="1" applyBorder="1" applyAlignment="1">
      <x:alignment wrapText="1"/>
    </x:xf>
    <x:xf numFmtId="200" fontId="23" fillId="4" borderId="5" xfId="0" applyNumberFormat="1" applyFont="1" applyFill="1" applyBorder="1" applyAlignment="1">
      <x:alignment wrapText="1"/>
    </x:xf>
    <x:xf numFmtId="202" fontId="23" fillId="4" borderId="5" xfId="0" applyNumberFormat="1" applyFont="1" applyFill="1" applyBorder="1" applyAlignment="1">
      <x:alignment wrapText="1"/>
    </x:xf>
    <x:xf numFmtId="0" fontId="17" fillId="0" borderId="7" xfId="0" applyNumberFormat="1" applyFont="1" applyFill="1" applyBorder="1" applyAlignment="1">
      <x:alignment wrapText="1"/>
    </x:xf>
    <x:xf numFmtId="200" fontId="23" fillId="4" borderId="8" xfId="0" applyNumberFormat="1" applyFont="1" applyFill="1" applyBorder="1" applyAlignment="1">
      <x:alignment wrapText="1"/>
    </x:xf>
    <x:xf numFmtId="0" fontId="23" fillId="4" borderId="1" xfId="0" applyNumberFormat="1" applyFont="1" applyFill="1" applyBorder="1" applyAlignment="1">
      <x:alignment vertical="top"/>
    </x:xf>
    <x:xf numFmtId="0" fontId="24" fillId="0" borderId="4" xfId="0" applyNumberFormat="1" applyFont="1" applyFill="1" applyBorder="1" applyAlignment="1">
      <x:alignment vertical="top"/>
    </x:xf>
    <x:xf numFmtId="0" fontId="25" fillId="0" borderId="4" xfId="0" applyNumberFormat="1" applyFont="1" applyFill="1" applyBorder="1" applyAlignment="1">
      <x:alignment vertical="top"/>
    </x:xf>
    <x:xf numFmtId="0" fontId="17" fillId="0" borderId="1" xfId="0" applyNumberFormat="1" applyFont="1" applyFill="1" applyBorder="1" applyAlignment="1">
      <x:alignment vertical="top" wrapText="1"/>
    </x:xf>
    <x:xf numFmtId="0" fontId="23" fillId="4" borderId="2" xfId="0" applyNumberFormat="1" applyFont="1" applyFill="1" applyBorder="1" applyAlignment="1">
      <x:alignment vertical="top" wrapText="1"/>
    </x:xf>
    <x:xf numFmtId="0" fontId="17" fillId="0" borderId="4" xfId="0" applyNumberFormat="1" applyFont="1" applyFill="1" applyBorder="1" applyAlignment="1">
      <x:alignment vertical="top" wrapText="1"/>
    </x:xf>
    <x:xf numFmtId="201" fontId="23" fillId="4" borderId="5" xfId="0" applyNumberFormat="1" applyFont="1" applyFill="1" applyBorder="1" applyAlignment="1">
      <x:alignment vertical="top" wrapText="1"/>
    </x:xf>
    <x:xf numFmtId="0" fontId="23" fillId="4" borderId="5" xfId="0" applyNumberFormat="1" applyFont="1" applyFill="1" applyBorder="1" applyAlignment="1">
      <x:alignment vertical="top" wrapText="1"/>
    </x:xf>
    <x:xf numFmtId="203" fontId="23" fillId="4" borderId="5" xfId="0" applyNumberFormat="1" applyFont="1" applyFill="1" applyBorder="1" applyAlignment="1">
      <x:alignment vertical="top" wrapText="1"/>
    </x:xf>
    <x:xf numFmtId="200" fontId="23" fillId="4" borderId="5" xfId="0" applyNumberFormat="1" applyFont="1" applyFill="1" applyBorder="1" applyAlignment="1">
      <x:alignment vertical="top" wrapText="1"/>
    </x:xf>
    <x:xf numFmtId="202" fontId="23" fillId="4" borderId="5" xfId="0" applyNumberFormat="1" applyFont="1" applyFill="1" applyBorder="1" applyAlignment="1">
      <x:alignment vertical="top" wrapText="1"/>
    </x:xf>
    <x:xf numFmtId="0" fontId="17" fillId="0" borderId="7" xfId="0" applyNumberFormat="1" applyFont="1" applyFill="1" applyBorder="1" applyAlignment="1">
      <x:alignment vertical="top" wrapText="1"/>
    </x:xf>
    <x:xf numFmtId="200" fontId="23" fillId="4" borderId="8" xfId="0" applyNumberFormat="1" applyFont="1" applyFill="1" applyBorder="1" applyAlignment="1">
      <x:alignment vertical="top" wrapText="1"/>
    </x:xf>
    <x:xf numFmtId="0" fontId="12" fillId="0" borderId="2" xfId="0" applyNumberFormat="1" applyFont="1" applyFill="1" applyBorder="1" applyAlignment="1">
      <x:alignment horizontal="right" wrapText="1"/>
    </x:xf>
    <x:xf numFmtId="0" fontId="12" fillId="0" borderId="5" xfId="0" applyNumberFormat="1" applyFont="1" applyFill="1" applyBorder="1" applyAlignment="1">
      <x:alignment horizontal="right" wrapText="1"/>
    </x:xf>
    <x:xf numFmtId="0" fontId="12" fillId="0" borderId="8" xfId="0" applyNumberFormat="1" applyFont="1" applyFill="1" applyBorder="1" applyAlignment="1">
      <x:alignment horizontal="right" wrapText="1"/>
    </x:xf>
    <x:xf numFmtId="0" fontId="12" fillId="0" borderId="0" xfId="0" applyNumberFormat="1" applyFont="1" applyFill="1" applyBorder="1" applyAlignment="1">
      <x:alignment horizontal="right"/>
    </x:xf>
    <x:xf numFmtId="0" fontId="17" fillId="0" borderId="2" xfId="0" applyNumberFormat="1" applyFont="1" applyFill="1" applyBorder="1" applyAlignment="1">
      <x:alignment horizontal="right" wrapText="1"/>
    </x:xf>
    <x:xf numFmtId="0" fontId="17" fillId="0" borderId="5" xfId="0" applyNumberFormat="1" applyFont="1" applyFill="1" applyBorder="1" applyAlignment="1">
      <x:alignment horizontal="right" wrapText="1"/>
    </x:xf>
    <x:xf numFmtId="0" fontId="17" fillId="0" borderId="8" xfId="0" applyNumberFormat="1" applyFont="1" applyFill="1" applyBorder="1" applyAlignment="1">
      <x:alignment horizontal="right" wrapText="1"/>
    </x:xf>
    <x:xf numFmtId="0" fontId="17" fillId="0" borderId="0" xfId="0" applyNumberFormat="1" applyFont="1" applyFill="1" applyBorder="1" applyAlignment="1">
      <x:alignment horizontal="right"/>
    </x:xf>
    <x:xf numFmtId="0" fontId="17" fillId="0" borderId="2" xfId="0" applyNumberFormat="1" applyFont="1" applyFill="1" applyBorder="1" applyAlignment="1">
      <x:alignment horizontal="right" vertical="top" wrapText="1"/>
    </x:xf>
    <x:xf numFmtId="0" fontId="17" fillId="0" borderId="5" xfId="0" applyNumberFormat="1" applyFont="1" applyFill="1" applyBorder="1" applyAlignment="1">
      <x:alignment horizontal="right" vertical="top" wrapText="1"/>
    </x:xf>
    <x:xf numFmtId="0" fontId="17" fillId="0" borderId="8" xfId="0" applyNumberFormat="1" applyFont="1" applyFill="1" applyBorder="1" applyAlignment="1">
      <x:alignment horizontal="right" vertical="top" wrapText="1"/>
    </x:xf>
    <x:xf numFmtId="0" fontId="17" fillId="0" borderId="0" xfId="0" applyNumberFormat="1" applyFont="1" applyFill="1" applyBorder="1" applyAlignment="1">
      <x:alignment horizontal="right" vertical="top"/>
    </x:xf>
    <x:xf numFmtId="204" fontId="20" fillId="4" borderId="2" xfId="0" applyNumberFormat="1" applyFont="1" applyFill="1" applyBorder="1"/>
    <x:xf numFmtId="200" fontId="20" fillId="4" borderId="2" xfId="0" applyNumberFormat="1" applyFont="1" applyFill="1" applyBorder="1"/>
    <x:xf numFmtId="204" fontId="20" fillId="4" borderId="5" xfId="0" applyNumberFormat="1" applyFont="1" applyFill="1" applyBorder="1"/>
    <x:xf numFmtId="200" fontId="20" fillId="4" borderId="5" xfId="0" applyNumberFormat="1" applyFont="1" applyFill="1" applyBorder="1"/>
    <x:xf numFmtId="0" fontId="15" fillId="6" borderId="4" xfId="0" applyNumberFormat="1" applyFont="1" applyFill="1" applyBorder="1"/>
    <x:xf numFmtId="0" fontId="26" fillId="6" borderId="5" xfId="0" applyNumberFormat="1" applyFont="1" applyFill="1" applyBorder="1"/>
    <x:xf numFmtId="200" fontId="15" fillId="6" borderId="5" xfId="0" applyNumberFormat="1" applyFont="1" applyFill="1" applyBorder="1"/>
    <x:xf numFmtId="0" fontId="15" fillId="6" borderId="6" xfId="0" applyNumberFormat="1" applyFont="1" applyFill="1" applyBorder="1"/>
    <x:xf numFmtId="0" fontId="15" fillId="6" borderId="7" xfId="0" applyNumberFormat="1" applyFont="1" applyFill="1" applyBorder="1"/>
    <x:xf numFmtId="0" fontId="15" fillId="6" borderId="8" xfId="0" applyNumberFormat="1" applyFont="1" applyFill="1" applyBorder="1"/>
    <x:xf numFmtId="200" fontId="26" fillId="6" borderId="8" xfId="0" applyNumberFormat="1" applyFont="1" applyFill="1" applyBorder="1"/>
    <x:xf numFmtId="0" fontId="15" fillId="6" borderId="9" xfId="0" applyNumberFormat="1" applyFont="1" applyFill="1" applyBorder="1"/>
    <x:xf numFmtId="204" fontId="23" fillId="4" borderId="2" xfId="0" applyNumberFormat="1" applyFont="1" applyFill="1" applyBorder="1"/>
    <x:xf numFmtId="200" fontId="23" fillId="4" borderId="2" xfId="0" applyNumberFormat="1" applyFont="1" applyFill="1" applyBorder="1"/>
    <x:xf numFmtId="204" fontId="23" fillId="4" borderId="5" xfId="0" applyNumberFormat="1" applyFont="1" applyFill="1" applyBorder="1"/>
    <x:xf numFmtId="200" fontId="23" fillId="4" borderId="5" xfId="0" applyNumberFormat="1" applyFont="1" applyFill="1" applyBorder="1"/>
    <x:xf numFmtId="0" fontId="19" fillId="6" borderId="4" xfId="0" applyNumberFormat="1" applyFont="1" applyFill="1" applyBorder="1"/>
    <x:xf numFmtId="0" fontId="27" fillId="6" borderId="5" xfId="0" applyNumberFormat="1" applyFont="1" applyFill="1" applyBorder="1"/>
    <x:xf numFmtId="200" fontId="19" fillId="6" borderId="5" xfId="0" applyNumberFormat="1" applyFont="1" applyFill="1" applyBorder="1"/>
    <x:xf numFmtId="0" fontId="19" fillId="6" borderId="6" xfId="0" applyNumberFormat="1" applyFont="1" applyFill="1" applyBorder="1"/>
    <x:xf numFmtId="0" fontId="19" fillId="6" borderId="7" xfId="0" applyNumberFormat="1" applyFont="1" applyFill="1" applyBorder="1"/>
    <x:xf numFmtId="0" fontId="19" fillId="6" borderId="8" xfId="0" applyNumberFormat="1" applyFont="1" applyFill="1" applyBorder="1"/>
    <x:xf numFmtId="200" fontId="27" fillId="6" borderId="8" xfId="0" applyNumberFormat="1" applyFont="1" applyFill="1" applyBorder="1"/>
    <x:xf numFmtId="0" fontId="19" fillId="6" borderId="9" xfId="0" applyNumberFormat="1" applyFont="1" applyFill="1" applyBorder="1"/>
    <x:xf numFmtId="204" fontId="23" fillId="4" borderId="2" xfId="0" applyNumberFormat="1" applyFont="1" applyFill="1" applyBorder="1" applyAlignment="1">
      <x:alignment vertical="top"/>
    </x:xf>
    <x:xf numFmtId="200" fontId="23" fillId="4" borderId="2" xfId="0" applyNumberFormat="1" applyFont="1" applyFill="1" applyBorder="1" applyAlignment="1">
      <x:alignment vertical="top"/>
    </x:xf>
    <x:xf numFmtId="204" fontId="23" fillId="4" borderId="5" xfId="0" applyNumberFormat="1" applyFont="1" applyFill="1" applyBorder="1" applyAlignment="1">
      <x:alignment vertical="top"/>
    </x:xf>
    <x:xf numFmtId="200" fontId="23" fillId="4" borderId="5" xfId="0" applyNumberFormat="1" applyFont="1" applyFill="1" applyBorder="1" applyAlignment="1">
      <x:alignment vertical="top"/>
    </x:xf>
    <x:xf numFmtId="0" fontId="19" fillId="6" borderId="4" xfId="0" applyNumberFormat="1" applyFont="1" applyFill="1" applyBorder="1" applyAlignment="1">
      <x:alignment vertical="top"/>
    </x:xf>
    <x:xf numFmtId="0" fontId="27" fillId="6" borderId="5" xfId="0" applyNumberFormat="1" applyFont="1" applyFill="1" applyBorder="1" applyAlignment="1">
      <x:alignment vertical="top"/>
    </x:xf>
    <x:xf numFmtId="200" fontId="19" fillId="6" borderId="5" xfId="0" applyNumberFormat="1" applyFont="1" applyFill="1" applyBorder="1" applyAlignment="1">
      <x:alignment vertical="top"/>
    </x:xf>
    <x:xf numFmtId="0" fontId="19" fillId="6" borderId="6" xfId="0" applyNumberFormat="1" applyFont="1" applyFill="1" applyBorder="1" applyAlignment="1">
      <x:alignment vertical="top"/>
    </x:xf>
    <x:xf numFmtId="0" fontId="19" fillId="6" borderId="7" xfId="0" applyNumberFormat="1" applyFont="1" applyFill="1" applyBorder="1" applyAlignment="1">
      <x:alignment vertical="top"/>
    </x:xf>
    <x:xf numFmtId="0" fontId="19" fillId="6" borderId="8" xfId="0" applyNumberFormat="1" applyFont="1" applyFill="1" applyBorder="1" applyAlignment="1">
      <x:alignment vertical="top"/>
    </x:xf>
    <x:xf numFmtId="200" fontId="27" fillId="6" borderId="8" xfId="0" applyNumberFormat="1" applyFont="1" applyFill="1" applyBorder="1" applyAlignment="1">
      <x:alignment vertical="top"/>
    </x:xf>
    <x:xf numFmtId="0" fontId="19" fillId="6" borderId="9" xfId="0" applyNumberFormat="1" applyFont="1" applyFill="1" applyBorder="1" applyAlignment="1">
      <x:alignment vertical="top"/>
    </x:xf>
    <x:xf numFmtId="0" fontId="20" fillId="4" borderId="2" xfId="0" applyNumberFormat="1" applyFont="1" applyFill="1" applyBorder="1"/>
    <x:xf numFmtId="0" fontId="20" fillId="4" borderId="5" xfId="0" applyNumberFormat="1" applyFont="1" applyFill="1" applyBorder="1"/>
    <x:xf numFmtId="0" fontId="15" fillId="6" borderId="5" xfId="0" applyNumberFormat="1" applyFont="1" applyFill="1" applyBorder="1"/>
    <x:xf numFmtId="200" fontId="15" fillId="6" borderId="8" xfId="0" applyNumberFormat="1" applyFont="1" applyFill="1" applyBorder="1"/>
    <x:xf numFmtId="0" fontId="23" fillId="4" borderId="2" xfId="0" applyNumberFormat="1" applyFont="1" applyFill="1" applyBorder="1"/>
    <x:xf numFmtId="0" fontId="23" fillId="4" borderId="5" xfId="0" applyNumberFormat="1" applyFont="1" applyFill="1" applyBorder="1"/>
    <x:xf numFmtId="0" fontId="19" fillId="6" borderId="5" xfId="0" applyNumberFormat="1" applyFont="1" applyFill="1" applyBorder="1"/>
    <x:xf numFmtId="200" fontId="19" fillId="6" borderId="8" xfId="0" applyNumberFormat="1" applyFont="1" applyFill="1" applyBorder="1"/>
    <x:xf numFmtId="0" fontId="23" fillId="4" borderId="2" xfId="0" applyNumberFormat="1" applyFont="1" applyFill="1" applyBorder="1" applyAlignment="1">
      <x:alignment vertical="top"/>
    </x:xf>
    <x:xf numFmtId="0" fontId="23" fillId="4" borderId="5" xfId="0" applyNumberFormat="1" applyFont="1" applyFill="1" applyBorder="1" applyAlignment="1">
      <x:alignment vertical="top"/>
    </x:xf>
    <x:xf numFmtId="0" fontId="19" fillId="6" borderId="5" xfId="0" applyNumberFormat="1" applyFont="1" applyFill="1" applyBorder="1" applyAlignment="1">
      <x:alignment vertical="top"/>
    </x:xf>
    <x:xf numFmtId="200" fontId="19" fillId="6" borderId="8" xfId="0" applyNumberFormat="1" applyFont="1" applyFill="1" applyBorder="1" applyAlignment="1">
      <x:alignment vertical="top"/>
    </x:xf>
    <x:xf numFmtId="204" fontId="12" fillId="0" borderId="2" xfId="0" applyNumberFormat="1" applyFont="1" applyFill="1" applyBorder="1"/>
    <x:xf numFmtId="201" fontId="15" fillId="6" borderId="5" xfId="0" applyNumberFormat="1" applyFont="1" applyFill="1" applyBorder="1"/>
    <x:xf numFmtId="204" fontId="17" fillId="0" borderId="2" xfId="0" applyNumberFormat="1" applyFont="1" applyFill="1" applyBorder="1"/>
    <x:xf numFmtId="201" fontId="19" fillId="6" borderId="5" xfId="0" applyNumberFormat="1" applyFont="1" applyFill="1" applyBorder="1"/>
    <x:xf numFmtId="204" fontId="17" fillId="0" borderId="2" xfId="0" applyNumberFormat="1" applyFont="1" applyFill="1" applyBorder="1" applyAlignment="1">
      <x:alignment vertical="top"/>
    </x:xf>
    <x:xf numFmtId="201" fontId="19" fillId="6" borderId="5" xfId="0" applyNumberFormat="1" applyFont="1" applyFill="1" applyBorder="1" applyAlignment="1">
      <x:alignment vertical="top"/>
    </x:xf>
    <x:xf numFmtId="201" fontId="12" fillId="0" borderId="2" xfId="0" applyNumberFormat="1" applyFont="1" applyFill="1" applyBorder="1"/>
    <x:xf numFmtId="201" fontId="17" fillId="0" borderId="2" xfId="0" applyNumberFormat="1" applyFont="1" applyFill="1" applyBorder="1"/>
    <x:xf numFmtId="201" fontId="17" fillId="0" borderId="2" xfId="0" applyNumberFormat="1" applyFont="1" applyFill="1" applyBorder="1" applyAlignment="1">
      <x:alignment vertical="top"/>
    </x:xf>
    <x:xf numFmtId="0" fontId="15" fillId="7" borderId="1" xfId="0" applyNumberFormat="1" applyFont="1" applyFill="1" applyBorder="1"/>
    <x:xf numFmtId="0" fontId="15" fillId="7" borderId="2" xfId="0" applyNumberFormat="1" applyFont="1" applyFill="1" applyBorder="1"/>
    <x:xf numFmtId="0" fontId="15" fillId="7" borderId="3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1" xfId="0" applyNumberFormat="1" applyFont="1" applyFill="1" applyBorder="1" applyAlignment="1">
      <x:alignment vertical="top"/>
    </x:xf>
    <x:xf numFmtId="0" fontId="19" fillId="7" borderId="2" xfId="0" applyNumberFormat="1" applyFont="1" applyFill="1" applyBorder="1" applyAlignment="1">
      <x:alignment vertical="top"/>
    </x:xf>
    <x:xf numFmtId="0" fontId="19" fillId="7" borderId="3" xfId="0" applyNumberFormat="1" applyFont="1" applyFill="1" applyBorder="1" applyAlignment="1">
      <x:alignment vertical="top"/>
    </x:xf>
    <x:xf numFmtId="0" fontId="28" fillId="2" borderId="0" xfId="0" applyNumberFormat="1" applyFont="1" applyFill="1" applyBorder="1" applyAlignment="1">
      <x:alignment vertical="top"/>
    </x:xf>
    <x:xf numFmtId="0" fontId="29" fillId="0" borderId="0" xfId="0" applyNumberFormat="1" applyFont="1" applyFill="1" applyBorder="1" applyAlignment="1">
      <x:alignment vertical="top"/>
    </x:xf>
    <x:xf numFmtId="0" fontId="30" fillId="0" borderId="0" xfId="0" applyNumberFormat="1" applyFont="1" applyFill="1" applyBorder="1" applyAlignment="1">
      <x:alignment vertical="top"/>
    </x:xf>
    <x:xf numFmtId="0" fontId="28" fillId="3" borderId="0" xfId="0" applyNumberFormat="1" applyFont="1" applyFill="1" applyBorder="1" applyAlignment="1">
      <x:alignment vertical="top"/>
    </x:xf>
    <x:xf numFmtId="0" fontId="28" fillId="5" borderId="5" xfId="0" applyNumberFormat="1" applyFont="1" applyFill="1" applyBorder="1" applyAlignment="1">
      <x:alignment vertical="top" wrapText="1"/>
    </x:xf>
    <x:xf numFmtId="0" fontId="29" fillId="0" borderId="1" xfId="0" applyNumberFormat="1" applyFont="1" applyFill="1" applyBorder="1" applyAlignment="1">
      <x:alignment vertical="top"/>
    </x:xf>
    <x:xf numFmtId="200" fontId="29" fillId="0" borderId="2" xfId="0" applyNumberFormat="1" applyFont="1" applyFill="1" applyBorder="1" applyAlignment="1">
      <x:alignment vertical="top"/>
    </x:xf>
    <x:xf numFmtId="0" fontId="29" fillId="0" borderId="2" xfId="0" applyNumberFormat="1" applyFont="1" applyFill="1" applyBorder="1" applyAlignment="1">
      <x:alignment vertical="top"/>
    </x:xf>
    <x:xf numFmtId="0" fontId="29" fillId="0" borderId="3" xfId="0" applyNumberFormat="1" applyFont="1" applyFill="1" applyBorder="1" applyAlignment="1">
      <x:alignment vertical="top"/>
    </x:xf>
    <x:xf numFmtId="0" fontId="29" fillId="0" borderId="4" xfId="0" applyNumberFormat="1" applyFont="1" applyFill="1" applyBorder="1" applyAlignment="1">
      <x:alignment vertical="top"/>
    </x:xf>
    <x:xf numFmtId="200" fontId="29" fillId="0" borderId="5" xfId="0" applyNumberFormat="1" applyFont="1" applyFill="1" applyBorder="1" applyAlignment="1">
      <x:alignment vertical="top"/>
    </x:xf>
    <x:xf numFmtId="0" fontId="29" fillId="0" borderId="5" xfId="0" applyNumberFormat="1" applyFont="1" applyFill="1" applyBorder="1" applyAlignment="1">
      <x:alignment vertical="top"/>
    </x:xf>
    <x:xf numFmtId="0" fontId="29" fillId="0" borderId="6" xfId="0" applyNumberFormat="1" applyFont="1" applyFill="1" applyBorder="1" applyAlignment="1">
      <x:alignment vertical="top"/>
    </x:xf>
    <x:xf numFmtId="201" fontId="29" fillId="0" borderId="5" xfId="0" applyNumberFormat="1" applyFont="1" applyFill="1" applyBorder="1" applyAlignment="1">
      <x:alignment vertical="top"/>
    </x:xf>
    <x:xf numFmtId="204" fontId="29" fillId="0" borderId="5" xfId="0" applyNumberFormat="1" applyFont="1" applyFill="1" applyBorder="1" applyAlignment="1">
      <x:alignment vertical="top"/>
    </x:xf>
    <x:xf numFmtId="0" fontId="29" fillId="0" borderId="7" xfId="0" applyNumberFormat="1" applyFont="1" applyFill="1" applyBorder="1" applyAlignment="1">
      <x:alignment vertical="top"/>
    </x:xf>
    <x:xf numFmtId="204" fontId="29" fillId="0" borderId="8" xfId="0" applyNumberFormat="1" applyFont="1" applyFill="1" applyBorder="1" applyAlignment="1">
      <x:alignment vertical="top"/>
    </x:xf>
    <x:xf numFmtId="0" fontId="29" fillId="0" borderId="8" xfId="0" applyNumberFormat="1" applyFont="1" applyFill="1" applyBorder="1" applyAlignment="1">
      <x:alignment vertical="top"/>
    </x:xf>
    <x:xf numFmtId="0" fontId="29" fillId="0" borderId="9" xfId="0" applyNumberFormat="1" applyFont="1" applyFill="1" applyBorder="1" applyAlignment="1">
      <x:alignment vertical="top"/>
    </x:xf>
    <x:xf numFmtId="0" fontId="28" fillId="0" borderId="1" xfId="0" applyNumberFormat="1" applyFont="1" applyFill="1" applyBorder="1" applyAlignment="1">
      <x:alignment vertical="top"/>
    </x:xf>
    <x:xf numFmtId="0" fontId="29" fillId="0" borderId="2" xfId="0" applyNumberFormat="1" applyFont="1" applyFill="1" applyBorder="1" applyAlignment="1">
      <x:alignment vertical="top" wrapText="1"/>
    </x:xf>
    <x:xf numFmtId="0" fontId="29" fillId="0" borderId="3" xfId="0" applyNumberFormat="1" applyFont="1" applyFill="1" applyBorder="1" applyAlignment="1">
      <x:alignment vertical="top" wrapText="1"/>
    </x:xf>
    <x:xf numFmtId="0" fontId="28" fillId="0" borderId="4" xfId="0" applyNumberFormat="1" applyFont="1" applyFill="1" applyBorder="1" applyAlignment="1">
      <x:alignment vertical="top"/>
    </x:xf>
    <x:xf numFmtId="0" fontId="29" fillId="0" borderId="5" xfId="0" applyNumberFormat="1" applyFont="1" applyFill="1" applyBorder="1" applyAlignment="1">
      <x:alignment vertical="top" wrapText="1"/>
    </x:xf>
    <x:xf numFmtId="0" fontId="29" fillId="0" borderId="6" xfId="0" applyNumberFormat="1" applyFont="1" applyFill="1" applyBorder="1" applyAlignment="1">
      <x:alignment vertical="top" wrapText="1"/>
    </x:xf>
    <x:xf numFmtId="0" fontId="28" fillId="0" borderId="7" xfId="0" applyNumberFormat="1" applyFont="1" applyFill="1" applyBorder="1" applyAlignment="1">
      <x:alignment vertical="top"/>
    </x:xf>
    <x:xf numFmtId="0" fontId="29" fillId="0" borderId="8" xfId="0" applyNumberFormat="1" applyFont="1" applyFill="1" applyBorder="1" applyAlignment="1">
      <x:alignment vertical="top" wrapText="1"/>
    </x:xf>
    <x:xf numFmtId="0" fontId="29" fillId="0" borderId="9" xfId="0" applyNumberFormat="1" applyFont="1" applyFill="1" applyBorder="1" applyAlignment="1">
      <x:alignment vertical="top" wrapText="1"/>
    </x:xf>
    <x:xf numFmtId="0" fontId="28" fillId="2" borderId="0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 applyAlignment="1">
      <x:alignment vertical="top" wrapText="1"/>
    </x:xf>
    <x:xf numFmtId="0" fontId="30" fillId="0" borderId="0" xfId="0" applyNumberFormat="1" applyFont="1" applyFill="1" applyBorder="1" applyAlignment="1">
      <x:alignment vertical="top" wrapText="1"/>
    </x:xf>
    <x:xf numFmtId="0" fontId="28" fillId="3" borderId="0" xfId="0" applyNumberFormat="1" applyFont="1" applyFill="1" applyBorder="1" applyAlignment="1">
      <x:alignment vertical="top" wrapText="1"/>
    </x:xf>
    <x:xf numFmtId="0" fontId="29" fillId="0" borderId="1" xfId="0" applyNumberFormat="1" applyFont="1" applyFill="1" applyBorder="1" applyAlignment="1">
      <x:alignment vertical="top" wrapText="1"/>
    </x:xf>
    <x:xf numFmtId="200" fontId="29" fillId="0" borderId="2" xfId="0" applyNumberFormat="1" applyFont="1" applyFill="1" applyBorder="1" applyAlignment="1">
      <x:alignment vertical="top" wrapText="1"/>
    </x:xf>
    <x:xf numFmtId="0" fontId="29" fillId="0" borderId="4" xfId="0" applyNumberFormat="1" applyFont="1" applyFill="1" applyBorder="1" applyAlignment="1">
      <x:alignment vertical="top" wrapText="1"/>
    </x:xf>
    <x:xf numFmtId="200" fontId="29" fillId="0" borderId="5" xfId="0" applyNumberFormat="1" applyFont="1" applyFill="1" applyBorder="1" applyAlignment="1">
      <x:alignment vertical="top" wrapText="1"/>
    </x:xf>
    <x:xf numFmtId="201" fontId="29" fillId="0" borderId="5" xfId="0" applyNumberFormat="1" applyFont="1" applyFill="1" applyBorder="1" applyAlignment="1">
      <x:alignment vertical="top" wrapText="1"/>
    </x:xf>
    <x:xf numFmtId="204" fontId="29" fillId="0" borderId="5" xfId="0" applyNumberFormat="1" applyFont="1" applyFill="1" applyBorder="1" applyAlignment="1">
      <x:alignment vertical="top" wrapText="1"/>
    </x:xf>
    <x:xf numFmtId="0" fontId="29" fillId="0" borderId="7" xfId="0" applyNumberFormat="1" applyFont="1" applyFill="1" applyBorder="1" applyAlignment="1">
      <x:alignment vertical="top" wrapText="1"/>
    </x:xf>
    <x:xf numFmtId="204" fontId="29" fillId="0" borderId="8" xfId="0" applyNumberFormat="1" applyFont="1" applyFill="1" applyBorder="1" applyAlignment="1">
      <x:alignment vertical="top" wrapText="1"/>
    </x:xf>
    <x:xf numFmtId="0" fontId="28" fillId="0" borderId="1" xfId="0" applyNumberFormat="1" applyFont="1" applyFill="1" applyBorder="1" applyAlignment="1">
      <x:alignment vertical="top" wrapText="1"/>
    </x:xf>
    <x:xf numFmtId="0" fontId="28" fillId="0" borderId="4" xfId="0" applyNumberFormat="1" applyFont="1" applyFill="1" applyBorder="1" applyAlignment="1">
      <x:alignment vertical="top" wrapText="1"/>
    </x:xf>
    <x:xf numFmtId="0" fontId="28" fillId="0" borderId="7" xfId="0" applyNumberFormat="1" applyFont="1" applyFill="1" applyBorder="1" applyAlignment="1">
      <x:alignment vertical="top" wrapText="1"/>
    </x:xf>
    <x:xf numFmtId="0" fontId="28" fillId="2" borderId="10" xfId="0" applyNumberFormat="1" applyFont="1" applyFill="1" applyBorder="1" applyAlignment="1">
      <x:alignment vertical="top" wrapText="1"/>
    </x:xf>
    <x:xf numFmtId="0" fontId="29" fillId="0" borderId="11" xfId="0" applyNumberFormat="1" applyFont="1" applyFill="1" applyBorder="1" applyAlignment="1">
      <x:alignment vertical="top" wrapText="1"/>
    </x:xf>
    <x:xf numFmtId="0" fontId="29" fillId="0" borderId="12" xfId="0" applyNumberFormat="1" applyFont="1" applyFill="1" applyBorder="1" applyAlignment="1">
      <x:alignment vertical="top" wrapText="1"/>
    </x:xf>
    <x:xf numFmtId="0" fontId="30" fillId="0" borderId="13" xfId="0" applyNumberFormat="1" applyFont="1" applyFill="1" applyBorder="1" applyAlignment="1">
      <x:alignment vertical="top" wrapText="1"/>
    </x:xf>
    <x:xf numFmtId="0" fontId="29" fillId="0" borderId="14" xfId="0" applyNumberFormat="1" applyFont="1" applyFill="1" applyBorder="1" applyAlignment="1">
      <x:alignment vertical="top" wrapText="1"/>
    </x:xf>
    <x:xf numFmtId="0" fontId="29" fillId="0" borderId="15" xfId="0" applyNumberFormat="1" applyFont="1" applyFill="1" applyBorder="1" applyAlignment="1">
      <x:alignment vertical="top" wrapText="1"/>
    </x:xf>
    <x:xf numFmtId="0" fontId="29" fillId="0" borderId="13" xfId="0" applyNumberFormat="1" applyFont="1" applyFill="1" applyBorder="1" applyAlignment="1">
      <x:alignment vertical="top" wrapText="1"/>
    </x:xf>
    <x:xf numFmtId="0" fontId="28" fillId="3" borderId="13" xfId="0" applyNumberFormat="1" applyFont="1" applyFill="1" applyBorder="1" applyAlignment="1">
      <x:alignment vertical="top" wrapText="1"/>
    </x:xf>
    <x:xf numFmtId="0" fontId="28" fillId="5" borderId="16" xfId="0" applyNumberFormat="1" applyFont="1" applyFill="1" applyBorder="1" applyAlignment="1">
      <x:alignment vertical="top" wrapText="1"/>
    </x:xf>
    <x:xf numFmtId="0" fontId="28" fillId="5" borderId="14" xfId="0" applyNumberFormat="1" applyFont="1" applyFill="1" applyBorder="1" applyAlignment="1">
      <x:alignment vertical="top" wrapText="1"/>
    </x:xf>
    <x:xf numFmtId="0" fontId="28" fillId="5" borderId="17" xfId="0" applyNumberFormat="1" applyFont="1" applyFill="1" applyBorder="1" applyAlignment="1">
      <x:alignment vertical="top" wrapText="1"/>
    </x:xf>
    <x:xf numFmtId="200" fontId="29" fillId="0" borderId="14" xfId="0" applyNumberFormat="1" applyFont="1" applyFill="1" applyBorder="1" applyAlignment="1">
      <x:alignment vertical="top" wrapText="1"/>
    </x:xf>
    <x:xf numFmtId="201" fontId="29" fillId="0" borderId="14" xfId="0" applyNumberFormat="1" applyFont="1" applyFill="1" applyBorder="1" applyAlignment="1">
      <x:alignment vertical="top" wrapText="1"/>
    </x:xf>
    <x:xf numFmtId="204" fontId="29" fillId="0" borderId="14" xfId="0" applyNumberFormat="1" applyFont="1" applyFill="1" applyBorder="1" applyAlignment="1">
      <x:alignment vertical="top" wrapText="1"/>
    </x:xf>
    <x:xf numFmtId="0" fontId="28" fillId="0" borderId="13" xfId="0" applyNumberFormat="1" applyFont="1" applyFill="1" applyBorder="1" applyAlignment="1">
      <x:alignment vertical="top" wrapText="1"/>
    </x:xf>
    <x:xf numFmtId="0" fontId="29" fillId="0" borderId="18" xfId="0" applyNumberFormat="1" applyFont="1" applyFill="1" applyBorder="1" applyAlignment="1">
      <x:alignment vertical="top" wrapText="1"/>
    </x:xf>
    <x:xf numFmtId="0" fontId="29" fillId="0" borderId="19" xfId="0" applyNumberFormat="1" applyFont="1" applyFill="1" applyBorder="1" applyAlignment="1">
      <x:alignment vertical="top" wrapText="1"/>
    </x:xf>
    <x:xf numFmtId="0" fontId="29" fillId="0" borderId="20" xfId="0" applyNumberFormat="1" applyFont="1" applyFill="1" applyBorder="1" applyAlignment="1">
      <x:alignment vertical="top" wrapText="1"/>
    </x:xf>
    <x:xf numFmtId="0" fontId="30" fillId="8" borderId="13" xfId="0" applyNumberFormat="1" applyFont="1" applyFill="1" applyBorder="1" applyAlignment="1">
      <x:alignment vertical="top" wrapText="1"/>
    </x:xf>
    <x:xf numFmtId="0" fontId="29" fillId="8" borderId="14" xfId="0" applyNumberFormat="1" applyFont="1" applyFill="1" applyBorder="1" applyAlignment="1">
      <x:alignment vertical="top" wrapText="1"/>
    </x:xf>
    <x:xf numFmtId="0" fontId="29" fillId="8" borderId="1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8" fillId="9" borderId="10" xfId="0" applyNumberFormat="1" applyFont="1" applyFill="1" applyBorder="1" applyAlignment="1">
      <x:alignment vertical="top" wrapText="1"/>
    </x:xf>
    <x:xf numFmtId="0" fontId="29" fillId="9" borderId="11" xfId="0" applyNumberFormat="1" applyFont="1" applyFill="1" applyBorder="1" applyAlignment="1">
      <x:alignment vertical="top" wrapText="1"/>
    </x:xf>
    <x:xf numFmtId="0" fontId="29" fillId="9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6" fillId="9" borderId="10" xfId="0" applyNumberFormat="1" applyFont="1" applyFill="1" applyBorder="1" applyAlignment="1">
      <x:alignment vertical="top" wrapText="1"/>
    </x:xf>
    <x:xf numFmtId="0" fontId="31" fillId="9" borderId="11" xfId="0" applyNumberFormat="1" applyFont="1" applyFill="1" applyBorder="1" applyAlignment="1">
      <x:alignment vertical="top" wrapText="1"/>
    </x:xf>
    <x:xf numFmtId="0" fontId="31" fillId="9" borderId="12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16" fillId="9" borderId="11" xfId="0" applyNumberFormat="1" applyFont="1" applyFill="1" applyBorder="1" applyAlignment="1">
      <x:alignment vertical="top" wrapText="1"/>
    </x:xf>
    <x:xf numFmtId="0" fontId="16" fillId="9" borderId="12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/>
    <x:xf numFmtId="0" fontId="32" fillId="9" borderId="10" xfId="0" applyNumberFormat="1" applyFont="1" applyFill="1" applyBorder="1" applyAlignment="1">
      <x:alignment vertical="top" wrapText="1"/>
    </x:xf>
    <x:xf numFmtId="0" fontId="32" fillId="9" borderId="11" xfId="0" applyNumberFormat="1" applyFont="1" applyFill="1" applyBorder="1" applyAlignment="1">
      <x:alignment vertical="top" wrapText="1"/>
    </x:xf>
    <x:xf numFmtId="0" fontId="32" fillId="9" borderId="12" xfId="0" applyNumberFormat="1" applyFont="1" applyFill="1" applyBorder="1" applyAlignment="1">
      <x:alignment vertical="top" wrapText="1"/>
    </x:xf>
    <x:xf numFmtId="0" fontId="33" fillId="9" borderId="0" xfId="0" applyNumberFormat="1" applyFont="1" applyFill="1" applyBorder="1"/>
    <x:xf numFmtId="0" fontId="18" fillId="8" borderId="13" xfId="0" applyNumberFormat="1" applyFont="1" applyFill="1" applyBorder="1" applyAlignment="1">
      <x:alignment vertical="top" wrapText="1"/>
    </x:xf>
    <x:xf numFmtId="0" fontId="34" fillId="8" borderId="14" xfId="0" applyNumberFormat="1" applyFont="1" applyFill="1" applyBorder="1" applyAlignment="1">
      <x:alignment vertical="top" wrapText="1"/>
    </x:xf>
    <x:xf numFmtId="0" fontId="34" fillId="8" borderId="15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18" fillId="8" borderId="14" xfId="0" applyNumberFormat="1" applyFont="1" applyFill="1" applyBorder="1" applyAlignment="1">
      <x:alignment vertical="top" wrapText="1"/>
    </x:xf>
    <x:xf numFmtId="0" fontId="18" fillId="8" borderId="15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/>
    <x:xf numFmtId="0" fontId="28" fillId="10" borderId="13" xfId="0" applyNumberFormat="1" applyFont="1" applyFill="1" applyBorder="1" applyAlignment="1">
      <x:alignment vertical="top" wrapText="1"/>
    </x:xf>
    <x:xf numFmtId="0" fontId="29" fillId="10" borderId="14" xfId="0" applyNumberFormat="1" applyFont="1" applyFill="1" applyBorder="1" applyAlignment="1">
      <x:alignment vertical="top" wrapText="1"/>
    </x:xf>
    <x:xf numFmtId="0" fontId="29" fillId="10" borderId="1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6" fillId="10" borderId="13" xfId="0" applyNumberFormat="1" applyFont="1" applyFill="1" applyBorder="1" applyAlignment="1">
      <x:alignment vertical="top" wrapText="1"/>
    </x:xf>
    <x:xf numFmtId="0" fontId="31" fillId="10" borderId="14" xfId="0" applyNumberFormat="1" applyFont="1" applyFill="1" applyBorder="1" applyAlignment="1">
      <x:alignment vertical="top" wrapText="1"/>
    </x:xf>
    <x:xf numFmtId="0" fontId="31" fillId="10" borderId="15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16" fillId="10" borderId="14" xfId="0" applyNumberFormat="1" applyFont="1" applyFill="1" applyBorder="1" applyAlignment="1">
      <x:alignment vertical="top" wrapText="1"/>
    </x:xf>
    <x:xf numFmtId="0" fontId="16" fillId="10" borderId="15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/>
    <x:xf numFmtId="0" fontId="28" fillId="11" borderId="16" xfId="0" applyNumberFormat="1" applyFont="1" applyFill="1" applyBorder="1" applyAlignment="1">
      <x:alignment vertical="top" wrapText="1"/>
    </x:xf>
    <x:xf numFmtId="0" fontId="28" fillId="11" borderId="14" xfId="0" applyNumberFormat="1" applyFont="1" applyFill="1" applyBorder="1" applyAlignment="1">
      <x:alignment vertical="top" wrapText="1"/>
    </x:xf>
    <x:xf numFmtId="0" fontId="28" fillId="11" borderId="17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5" fillId="11" borderId="0" xfId="0" applyNumberFormat="1" applyFont="1" applyFill="1" applyBorder="1"/>
    <x:xf numFmtId="0" fontId="36" fillId="11" borderId="0" xfId="0" applyNumberFormat="1" applyFont="1" applyFill="1" applyBorder="1"/>
    <x:xf numFmtId="200" fontId="29" fillId="12" borderId="14" xfId="0" applyNumberFormat="1" applyFont="1" applyFill="1" applyBorder="1" applyAlignment="1">
      <x:alignment vertical="top" wrapText="1"/>
    </x:xf>
    <x:xf numFmtId="0" fontId="29" fillId="12" borderId="13" xfId="0" applyNumberFormat="1" applyFont="1" applyFill="1" applyBorder="1" applyAlignment="1">
      <x:alignment vertical="top" wrapText="1"/>
    </x:xf>
    <x:xf numFmtId="0" fontId="29" fillId="12" borderId="14" xfId="0" applyNumberFormat="1" applyFont="1" applyFill="1" applyBorder="1" applyAlignment="1">
      <x:alignment vertical="top" wrapText="1"/>
    </x:xf>
    <x:xf numFmtId="0" fontId="29" fillId="12" borderId="15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8" fillId="12" borderId="13" xfId="0" applyNumberFormat="1" applyFont="1" applyFill="1" applyBorder="1" applyAlignment="1">
      <x:alignment vertical="top" wrapText="1"/>
    </x:xf>
    <x:xf numFmtId="200" fontId="28" fillId="12" borderId="14" xfId="0" applyNumberFormat="1" applyFont="1" applyFill="1" applyBorder="1" applyAlignment="1">
      <x:alignment vertical="top" wrapText="1"/>
    </x:xf>
    <x:xf numFmtId="0" fontId="28" fillId="12" borderId="14" xfId="0" applyNumberFormat="1" applyFont="1" applyFill="1" applyBorder="1" applyAlignment="1">
      <x:alignment vertical="top" wrapText="1"/>
    </x:xf>
    <x:xf numFmtId="0" fontId="28" fillId="12" borderId="15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201" fontId="29" fillId="13" borderId="14" xfId="0" applyNumberFormat="1" applyFont="1" applyFill="1" applyBorder="1" applyAlignment="1">
      <x:alignment vertical="top" wrapText="1"/>
    </x:xf>
    <x:xf numFmtId="0" fontId="29" fillId="4" borderId="1" xfId="0" applyNumberFormat="1" applyFont="1" applyFill="1" applyBorder="1" applyAlignment="1">
      <x:alignment vertical="top"/>
    </x:xf>
    <x:xf numFmtId="0" fontId="29" fillId="4" borderId="2" xfId="0" applyNumberFormat="1" applyFont="1" applyFill="1" applyBorder="1" applyAlignment="1">
      <x:alignment vertical="top" wrapText="1"/>
    </x:xf>
    <x:xf numFmtId="201" fontId="29" fillId="4" borderId="5" xfId="0" applyNumberFormat="1" applyFont="1" applyFill="1" applyBorder="1" applyAlignment="1">
      <x:alignment vertical="top" wrapText="1"/>
    </x:xf>
    <x:xf numFmtId="0" fontId="29" fillId="4" borderId="5" xfId="0" applyNumberFormat="1" applyFont="1" applyFill="1" applyBorder="1" applyAlignment="1">
      <x:alignment vertical="top" wrapText="1"/>
    </x:xf>
    <x:xf numFmtId="203" fontId="29" fillId="4" borderId="5" xfId="0" applyNumberFormat="1" applyFont="1" applyFill="1" applyBorder="1" applyAlignment="1">
      <x:alignment vertical="top" wrapText="1"/>
    </x:xf>
    <x:xf numFmtId="200" fontId="29" fillId="4" borderId="5" xfId="0" applyNumberFormat="1" applyFont="1" applyFill="1" applyBorder="1" applyAlignment="1">
      <x:alignment vertical="top" wrapText="1"/>
    </x:xf>
    <x:xf numFmtId="202" fontId="29" fillId="4" borderId="5" xfId="0" applyNumberFormat="1" applyFont="1" applyFill="1" applyBorder="1" applyAlignment="1">
      <x:alignment vertical="top" wrapText="1"/>
    </x:xf>
    <x:xf numFmtId="200" fontId="29" fillId="4" borderId="8" xfId="0" applyNumberFormat="1" applyFont="1" applyFill="1" applyBorder="1" applyAlignment="1">
      <x:alignment vertical="top" wrapText="1"/>
    </x:xf>
    <x:xf numFmtId="0" fontId="29" fillId="4" borderId="1" xfId="0" applyNumberFormat="1" applyFont="1" applyFill="1" applyBorder="1" applyAlignment="1">
      <x:alignment vertical="top" wrapText="1"/>
    </x:xf>
    <x:xf numFmtId="0" fontId="29" fillId="4" borderId="13" xfId="0" applyNumberFormat="1" applyFont="1" applyFill="1" applyBorder="1" applyAlignment="1">
      <x:alignment vertical="top" wrapText="1"/>
    </x:xf>
    <x:xf numFmtId="0" fontId="29" fillId="4" borderId="14" xfId="0" applyNumberFormat="1" applyFont="1" applyFill="1" applyBorder="1" applyAlignment="1">
      <x:alignment vertical="top" wrapText="1"/>
    </x:xf>
    <x:xf numFmtId="201" fontId="29" fillId="4" borderId="14" xfId="0" applyNumberFormat="1" applyFont="1" applyFill="1" applyBorder="1" applyAlignment="1">
      <x:alignment vertical="top" wrapText="1"/>
    </x:xf>
    <x:xf numFmtId="203" fontId="29" fillId="4" borderId="14" xfId="0" applyNumberFormat="1" applyFont="1" applyFill="1" applyBorder="1" applyAlignment="1">
      <x:alignment vertical="top" wrapText="1"/>
    </x:xf>
    <x:xf numFmtId="200" fontId="29" fillId="4" borderId="14" xfId="0" applyNumberFormat="1" applyFont="1" applyFill="1" applyBorder="1" applyAlignment="1">
      <x:alignment vertical="top" wrapText="1"/>
    </x:xf>
    <x:xf numFmtId="202" fontId="29" fillId="4" borderId="14" xfId="0" applyNumberFormat="1" applyFont="1" applyFill="1" applyBorder="1" applyAlignment="1">
      <x:alignment vertical="top" wrapText="1"/>
    </x:xf>
    <x:xf numFmtId="200" fontId="29" fillId="4" borderId="19" xfId="0" applyNumberFormat="1" applyFont="1" applyFill="1" applyBorder="1" applyAlignment="1">
      <x:alignment vertical="top" wrapText="1"/>
    </x:xf>
    <x:xf numFmtId="0" fontId="29" fillId="14" borderId="14" xfId="0" applyNumberFormat="1" applyFont="1" applyFill="1" applyBorder="1" applyAlignment="1">
      <x:alignment vertical="top" wrapText="1"/>
    </x:xf>
    <x:xf numFmtId="201" fontId="29" fillId="14" borderId="14" xfId="0" applyNumberFormat="1" applyFont="1" applyFill="1" applyBorder="1" applyAlignment="1">
      <x:alignment vertical="top" wrapText="1"/>
    </x:xf>
    <x:xf numFmtId="203" fontId="29" fillId="14" borderId="14" xfId="0" applyNumberFormat="1" applyFont="1" applyFill="1" applyBorder="1" applyAlignment="1">
      <x:alignment vertical="top" wrapText="1"/>
    </x:xf>
    <x:xf numFmtId="200" fontId="29" fillId="14" borderId="14" xfId="0" applyNumberFormat="1" applyFont="1" applyFill="1" applyBorder="1" applyAlignment="1">
      <x:alignment vertical="top" wrapText="1"/>
    </x:xf>
    <x:xf numFmtId="202" fontId="29" fillId="14" borderId="14" xfId="0" applyNumberFormat="1" applyFont="1" applyFill="1" applyBorder="1" applyAlignment="1">
      <x:alignment vertical="top" wrapText="1"/>
    </x:xf>
    <x:xf numFmtId="200" fontId="29" fillId="14" borderId="1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7" fillId="14" borderId="14" xfId="0" applyNumberFormat="1" applyFont="1" applyFill="1" applyBorder="1" applyAlignment="1">
      <x:alignment vertical="top" wrapText="1"/>
    </x:xf>
    <x:xf numFmtId="201" fontId="37" fillId="14" borderId="14" xfId="0" applyNumberFormat="1" applyFont="1" applyFill="1" applyBorder="1" applyAlignment="1">
      <x:alignment vertical="top" wrapText="1"/>
    </x:xf>
    <x:xf numFmtId="203" fontId="37" fillId="14" borderId="14" xfId="0" applyNumberFormat="1" applyFont="1" applyFill="1" applyBorder="1" applyAlignment="1">
      <x:alignment vertical="top" wrapText="1"/>
    </x:xf>
    <x:xf numFmtId="200" fontId="37" fillId="14" borderId="14" xfId="0" applyNumberFormat="1" applyFont="1" applyFill="1" applyBorder="1" applyAlignment="1">
      <x:alignment vertical="top" wrapText="1"/>
    </x:xf>
    <x:xf numFmtId="202" fontId="37" fillId="14" borderId="14" xfId="0" applyNumberFormat="1" applyFont="1" applyFill="1" applyBorder="1" applyAlignment="1">
      <x:alignment vertical="top" wrapText="1"/>
    </x:xf>
    <x:xf numFmtId="200" fontId="37" fillId="14" borderId="19" xfId="0" applyNumberFormat="1" applyFont="1" applyFill="1" applyBorder="1" applyAlignment="1">
      <x:alignment vertical="top" wrapText="1"/>
    </x:xf>
    <x:xf numFmtId="0" fontId="38" fillId="14" borderId="0" xfId="0" applyNumberFormat="1" applyFont="1" applyFill="1" applyBorder="1"/>
    <x:xf numFmtId="0" fontId="29" fillId="0" borderId="2" xfId="0" applyNumberFormat="1" applyFont="1" applyFill="1" applyBorder="1" applyAlignment="1">
      <x:alignment horizontal="right" vertical="top" wrapText="1"/>
    </x:xf>
    <x:xf numFmtId="0" fontId="29" fillId="0" borderId="5" xfId="0" applyNumberFormat="1" applyFont="1" applyFill="1" applyBorder="1" applyAlignment="1">
      <x:alignment horizontal="right" vertical="top" wrapText="1"/>
    </x:xf>
    <x:xf numFmtId="0" fontId="29" fillId="0" borderId="8" xfId="0" applyNumberFormat="1" applyFont="1" applyFill="1" applyBorder="1" applyAlignment="1">
      <x:alignment horizontal="right" vertical="top" wrapText="1"/>
    </x:xf>
    <x:xf numFmtId="0" fontId="29" fillId="0" borderId="0" xfId="0" applyNumberFormat="1" applyFont="1" applyFill="1" applyBorder="1" applyAlignment="1">
      <x:alignment horizontal="right" vertical="top"/>
    </x:xf>
    <x:xf numFmtId="0" fontId="29" fillId="0" borderId="0" xfId="0" applyNumberFormat="1" applyFont="1" applyFill="1" applyBorder="1" applyAlignment="1">
      <x:alignment horizontal="right" vertical="top" wrapText="1"/>
    </x:xf>
    <x:xf numFmtId="0" fontId="29" fillId="0" borderId="14" xfId="0" applyNumberFormat="1" applyFont="1" applyFill="1" applyBorder="1" applyAlignment="1">
      <x:alignment horizontal="right" vertical="top" wrapText="1"/>
    </x:xf>
    <x:xf numFmtId="0" fontId="29" fillId="0" borderId="19" xfId="0" applyNumberFormat="1" applyFont="1" applyFill="1" applyBorder="1" applyAlignment="1">
      <x:alignment horizontal="right" vertical="top" wrapText="1"/>
    </x:xf>
    <x:xf numFmtId="0" fontId="32" fillId="10" borderId="10" xfId="0" applyNumberFormat="1" applyFont="1" applyFill="1" applyBorder="1" applyAlignment="1">
      <x:alignment vertical="top" wrapText="1"/>
    </x:xf>
    <x:xf numFmtId="0" fontId="32" fillId="10" borderId="11" xfId="0" applyNumberFormat="1" applyFont="1" applyFill="1" applyBorder="1" applyAlignment="1">
      <x:alignment vertical="top" wrapText="1"/>
    </x:xf>
    <x:xf numFmtId="204" fontId="29" fillId="4" borderId="2" xfId="0" applyNumberFormat="1" applyFont="1" applyFill="1" applyBorder="1" applyAlignment="1">
      <x:alignment vertical="top"/>
    </x:xf>
    <x:xf numFmtId="200" fontId="29" fillId="4" borderId="2" xfId="0" applyNumberFormat="1" applyFont="1" applyFill="1" applyBorder="1" applyAlignment="1">
      <x:alignment vertical="top"/>
    </x:xf>
    <x:xf numFmtId="204" fontId="29" fillId="4" borderId="5" xfId="0" applyNumberFormat="1" applyFont="1" applyFill="1" applyBorder="1" applyAlignment="1">
      <x:alignment vertical="top"/>
    </x:xf>
    <x:xf numFmtId="200" fontId="29" fillId="4" borderId="5" xfId="0" applyNumberFormat="1" applyFont="1" applyFill="1" applyBorder="1" applyAlignment="1">
      <x:alignment vertical="top"/>
    </x:xf>
    <x:xf numFmtId="0" fontId="28" fillId="6" borderId="4" xfId="0" applyNumberFormat="1" applyFont="1" applyFill="1" applyBorder="1" applyAlignment="1">
      <x:alignment vertical="top"/>
    </x:xf>
    <x:xf numFmtId="0" fontId="28" fillId="6" borderId="5" xfId="0" applyNumberFormat="1" applyFont="1" applyFill="1" applyBorder="1" applyAlignment="1">
      <x:alignment vertical="top"/>
    </x:xf>
    <x:xf numFmtId="200" fontId="28" fillId="6" borderId="5" xfId="0" applyNumberFormat="1" applyFont="1" applyFill="1" applyBorder="1" applyAlignment="1">
      <x:alignment vertical="top"/>
    </x:xf>
    <x:xf numFmtId="0" fontId="28" fillId="6" borderId="6" xfId="0" applyNumberFormat="1" applyFont="1" applyFill="1" applyBorder="1" applyAlignment="1">
      <x:alignment vertical="top"/>
    </x:xf>
    <x:xf numFmtId="0" fontId="28" fillId="6" borderId="7" xfId="0" applyNumberFormat="1" applyFont="1" applyFill="1" applyBorder="1" applyAlignment="1">
      <x:alignment vertical="top"/>
    </x:xf>
    <x:xf numFmtId="0" fontId="28" fillId="6" borderId="8" xfId="0" applyNumberFormat="1" applyFont="1" applyFill="1" applyBorder="1" applyAlignment="1">
      <x:alignment vertical="top"/>
    </x:xf>
    <x:xf numFmtId="200" fontId="28" fillId="6" borderId="8" xfId="0" applyNumberFormat="1" applyFont="1" applyFill="1" applyBorder="1" applyAlignment="1">
      <x:alignment vertical="top"/>
    </x:xf>
    <x:xf numFmtId="0" fontId="28" fillId="6" borderId="9" xfId="0" applyNumberFormat="1" applyFont="1" applyFill="1" applyBorder="1" applyAlignment="1">
      <x:alignment vertical="top"/>
    </x:xf>
    <x:xf numFmtId="204" fontId="29" fillId="4" borderId="2" xfId="0" applyNumberFormat="1" applyFont="1" applyFill="1" applyBorder="1" applyAlignment="1">
      <x:alignment vertical="top" wrapText="1"/>
    </x:xf>
    <x:xf numFmtId="200" fontId="29" fillId="4" borderId="2" xfId="0" applyNumberFormat="1" applyFont="1" applyFill="1" applyBorder="1" applyAlignment="1">
      <x:alignment vertical="top" wrapText="1"/>
    </x:xf>
    <x:xf numFmtId="204" fontId="29" fillId="4" borderId="5" xfId="0" applyNumberFormat="1" applyFont="1" applyFill="1" applyBorder="1" applyAlignment="1">
      <x:alignment vertical="top" wrapText="1"/>
    </x:xf>
    <x:xf numFmtId="0" fontId="28" fillId="6" borderId="4" xfId="0" applyNumberFormat="1" applyFont="1" applyFill="1" applyBorder="1" applyAlignment="1">
      <x:alignment vertical="top" wrapText="1"/>
    </x:xf>
    <x:xf numFmtId="0" fontId="28" fillId="6" borderId="5" xfId="0" applyNumberFormat="1" applyFont="1" applyFill="1" applyBorder="1" applyAlignment="1">
      <x:alignment vertical="top" wrapText="1"/>
    </x:xf>
    <x:xf numFmtId="200" fontId="28" fillId="6" borderId="5" xfId="0" applyNumberFormat="1" applyFont="1" applyFill="1" applyBorder="1" applyAlignment="1">
      <x:alignment vertical="top" wrapText="1"/>
    </x:xf>
    <x:xf numFmtId="0" fontId="28" fillId="6" borderId="6" xfId="0" applyNumberFormat="1" applyFont="1" applyFill="1" applyBorder="1" applyAlignment="1">
      <x:alignment vertical="top" wrapText="1"/>
    </x:xf>
    <x:xf numFmtId="0" fontId="28" fillId="6" borderId="7" xfId="0" applyNumberFormat="1" applyFont="1" applyFill="1" applyBorder="1" applyAlignment="1">
      <x:alignment vertical="top" wrapText="1"/>
    </x:xf>
    <x:xf numFmtId="0" fontId="28" fillId="6" borderId="8" xfId="0" applyNumberFormat="1" applyFont="1" applyFill="1" applyBorder="1" applyAlignment="1">
      <x:alignment vertical="top" wrapText="1"/>
    </x:xf>
    <x:xf numFmtId="200" fontId="28" fillId="6" borderId="8" xfId="0" applyNumberFormat="1" applyFont="1" applyFill="1" applyBorder="1" applyAlignment="1">
      <x:alignment vertical="top" wrapText="1"/>
    </x:xf>
    <x:xf numFmtId="0" fontId="28" fillId="6" borderId="9" xfId="0" applyNumberFormat="1" applyFont="1" applyFill="1" applyBorder="1" applyAlignment="1">
      <x:alignment vertical="top" wrapText="1"/>
    </x:xf>
    <x:xf numFmtId="204" fontId="29" fillId="4" borderId="14" xfId="0" applyNumberFormat="1" applyFont="1" applyFill="1" applyBorder="1" applyAlignment="1">
      <x:alignment vertical="top" wrapText="1"/>
    </x:xf>
    <x:xf numFmtId="0" fontId="28" fillId="6" borderId="13" xfId="0" applyNumberFormat="1" applyFont="1" applyFill="1" applyBorder="1" applyAlignment="1">
      <x:alignment vertical="top" wrapText="1"/>
    </x:xf>
    <x:xf numFmtId="0" fontId="28" fillId="6" borderId="14" xfId="0" applyNumberFormat="1" applyFont="1" applyFill="1" applyBorder="1" applyAlignment="1">
      <x:alignment vertical="top" wrapText="1"/>
    </x:xf>
    <x:xf numFmtId="200" fontId="28" fillId="6" borderId="14" xfId="0" applyNumberFormat="1" applyFont="1" applyFill="1" applyBorder="1" applyAlignment="1">
      <x:alignment vertical="top" wrapText="1"/>
    </x:xf>
    <x:xf numFmtId="0" fontId="28" fillId="6" borderId="15" xfId="0" applyNumberFormat="1" applyFont="1" applyFill="1" applyBorder="1" applyAlignment="1">
      <x:alignment vertical="top" wrapText="1"/>
    </x:xf>
    <x:xf numFmtId="0" fontId="28" fillId="6" borderId="18" xfId="0" applyNumberFormat="1" applyFont="1" applyFill="1" applyBorder="1" applyAlignment="1">
      <x:alignment vertical="top" wrapText="1"/>
    </x:xf>
    <x:xf numFmtId="0" fontId="28" fillId="6" borderId="19" xfId="0" applyNumberFormat="1" applyFont="1" applyFill="1" applyBorder="1" applyAlignment="1">
      <x:alignment vertical="top" wrapText="1"/>
    </x:xf>
    <x:xf numFmtId="200" fontId="28" fillId="6" borderId="19" xfId="0" applyNumberFormat="1" applyFont="1" applyFill="1" applyBorder="1" applyAlignment="1">
      <x:alignment vertical="top" wrapText="1"/>
    </x:xf>
    <x:xf numFmtId="0" fontId="28" fillId="6" borderId="20" xfId="0" applyNumberFormat="1" applyFont="1" applyFill="1" applyBorder="1" applyAlignment="1">
      <x:alignment vertical="top" wrapText="1"/>
    </x:xf>
    <x:xf numFmtId="0" fontId="28" fillId="15" borderId="13" xfId="0" applyNumberFormat="1" applyFont="1" applyFill="1" applyBorder="1" applyAlignment="1">
      <x:alignment vertical="top" wrapText="1"/>
    </x:xf>
    <x:xf numFmtId="0" fontId="28" fillId="15" borderId="14" xfId="0" applyNumberFormat="1" applyFont="1" applyFill="1" applyBorder="1" applyAlignment="1">
      <x:alignment vertical="top" wrapText="1"/>
    </x:xf>
    <x:xf numFmtId="200" fontId="28" fillId="15" borderId="14" xfId="0" applyNumberFormat="1" applyFont="1" applyFill="1" applyBorder="1" applyAlignment="1">
      <x:alignment vertical="top" wrapText="1"/>
    </x:xf>
    <x:xf numFmtId="0" fontId="28" fillId="15" borderId="15" xfId="0" applyNumberFormat="1" applyFont="1" applyFill="1" applyBorder="1" applyAlignment="1">
      <x:alignment vertical="top" wrapText="1"/>
    </x:xf>
    <x:xf numFmtId="0" fontId="28" fillId="15" borderId="18" xfId="0" applyNumberFormat="1" applyFont="1" applyFill="1" applyBorder="1" applyAlignment="1">
      <x:alignment vertical="top" wrapText="1"/>
    </x:xf>
    <x:xf numFmtId="0" fontId="28" fillId="15" borderId="19" xfId="0" applyNumberFormat="1" applyFont="1" applyFill="1" applyBorder="1" applyAlignment="1">
      <x:alignment vertical="top" wrapText="1"/>
    </x:xf>
    <x:xf numFmtId="200" fontId="28" fillId="15" borderId="19" xfId="0" applyNumberFormat="1" applyFont="1" applyFill="1" applyBorder="1" applyAlignment="1">
      <x:alignment vertical="top" wrapText="1"/>
    </x:xf>
    <x:xf numFmtId="0" fontId="28" fillId="15" borderId="20" xfId="0" applyNumberFormat="1" applyFont="1" applyFill="1" applyBorder="1" applyAlignment="1">
      <x:alignment vertical="top" wrapText="1"/>
    </x:xf>
    <x:xf numFmtId="0" fontId="29" fillId="4" borderId="2" xfId="0" applyNumberFormat="1" applyFont="1" applyFill="1" applyBorder="1" applyAlignment="1">
      <x:alignment vertical="top"/>
    </x:xf>
    <x:xf numFmtId="0" fontId="29" fillId="4" borderId="5" xfId="0" applyNumberFormat="1" applyFont="1" applyFill="1" applyBorder="1" applyAlignment="1">
      <x:alignment vertical="top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204" fontId="29" fillId="0" borderId="2" xfId="0" applyNumberFormat="1" applyFont="1" applyFill="1" applyBorder="1" applyAlignment="1">
      <x:alignment vertical="top"/>
    </x:xf>
    <x:xf numFmtId="201" fontId="28" fillId="6" borderId="5" xfId="0" applyNumberFormat="1" applyFont="1" applyFill="1" applyBorder="1" applyAlignment="1">
      <x:alignment vertical="top"/>
    </x:xf>
    <x:xf numFmtId="204" fontId="29" fillId="0" borderId="2" xfId="0" applyNumberFormat="1" applyFont="1" applyFill="1" applyBorder="1" applyAlignment="1">
      <x:alignment vertical="top" wrapText="1"/>
    </x:xf>
    <x:xf numFmtId="201" fontId="28" fillId="6" borderId="5" xfId="0" applyNumberFormat="1" applyFont="1" applyFill="1" applyBorder="1" applyAlignment="1">
      <x:alignment vertical="top" wrapText="1"/>
    </x:xf>
    <x:xf numFmtId="201" fontId="28" fillId="6" borderId="14" xfId="0" applyNumberFormat="1" applyFont="1" applyFill="1" applyBorder="1" applyAlignment="1">
      <x:alignment vertical="top" wrapText="1"/>
    </x:xf>
    <x:xf numFmtId="201" fontId="28" fillId="14" borderId="14" xfId="0" applyNumberFormat="1" applyFont="1" applyFill="1" applyBorder="1" applyAlignment="1">
      <x:alignment vertical="top" wrapText="1"/>
    </x:xf>
    <x:xf numFmtId="201" fontId="29" fillId="0" borderId="2" xfId="0" applyNumberFormat="1" applyFont="1" applyFill="1" applyBorder="1" applyAlignment="1">
      <x:alignment vertical="top"/>
    </x:xf>
    <x:xf numFmtId="201" fontId="29" fillId="0" borderId="2" xfId="0" applyNumberFormat="1" applyFont="1" applyFill="1" applyBorder="1" applyAlignment="1">
      <x:alignment vertical="top" wrapText="1"/>
    </x:xf>
    <x:xf numFmtId="204" fontId="29" fillId="0" borderId="19" xfId="0" applyNumberFormat="1" applyFont="1" applyFill="1" applyBorder="1" applyAlignment="1">
      <x:alignment vertical="top" wrapText="1"/>
    </x:xf>
    <x:xf numFmtId="0" fontId="28" fillId="7" borderId="1" xfId="0" applyNumberFormat="1" applyFont="1" applyFill="1" applyBorder="1" applyAlignment="1">
      <x:alignment vertical="top"/>
    </x:xf>
    <x:xf numFmtId="0" fontId="28" fillId="7" borderId="2" xfId="0" applyNumberFormat="1" applyFont="1" applyFill="1" applyBorder="1" applyAlignment="1">
      <x:alignment vertical="top"/>
    </x:xf>
    <x:xf numFmtId="0" fontId="28" fillId="7" borderId="3" xfId="0" applyNumberFormat="1" applyFont="1" applyFill="1" applyBorder="1" applyAlignment="1">
      <x:alignment vertical="top"/>
    </x:xf>
    <x:xf numFmtId="0" fontId="28" fillId="7" borderId="1" xfId="0" applyNumberFormat="1" applyFont="1" applyFill="1" applyBorder="1" applyAlignment="1">
      <x:alignment vertical="top" wrapText="1"/>
    </x:xf>
    <x:xf numFmtId="0" fontId="28" fillId="7" borderId="2" xfId="0" applyNumberFormat="1" applyFont="1" applyFill="1" applyBorder="1" applyAlignment="1">
      <x:alignment vertical="top" wrapText="1"/>
    </x:xf>
    <x:xf numFmtId="0" fontId="28" fillId="7" borderId="3" xfId="0" applyNumberFormat="1" applyFont="1" applyFill="1" applyBorder="1" applyAlignment="1">
      <x:alignment vertical="top" wrapText="1"/>
    </x:xf>
    <x:xf numFmtId="0" fontId="28" fillId="7" borderId="13" xfId="0" applyNumberFormat="1" applyFont="1" applyFill="1" applyBorder="1" applyAlignment="1">
      <x:alignment vertical="top" wrapText="1"/>
    </x:xf>
    <x:xf numFmtId="0" fontId="28" fillId="7" borderId="14" xfId="0" applyNumberFormat="1" applyFont="1" applyFill="1" applyBorder="1" applyAlignment="1">
      <x:alignment vertical="top" wrapText="1"/>
    </x:xf>
    <x:xf numFmtId="0" fontId="28" fillId="7" borderId="15" xfId="0" applyNumberFormat="1" applyFont="1" applyFill="1" applyBorder="1" applyAlignment="1">
      <x:alignment vertical="top" wrapText="1"/>
    </x:xf>
    <x:xf numFmtId="0" fontId="29" fillId="12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a682f8d7f47e3" /><Relationship Type="http://schemas.openxmlformats.org/officeDocument/2006/relationships/theme" Target="/xl/theme/theme1.xml" Id="R63a24808ff9d433e" /><Relationship Type="http://schemas.openxmlformats.org/officeDocument/2006/relationships/sharedStrings" Target="/xl/sharedStrings.xml" Id="R44bb91d216174e27" /><Relationship Type="http://schemas.openxmlformats.org/officeDocument/2006/relationships/worksheet" Target="/xl/worksheets/sheet1.xml" Id="Rcf3502dae9724649" /><Relationship Type="http://schemas.openxmlformats.org/officeDocument/2006/relationships/worksheet" Target="/xl/worksheets/sheet2.xml" Id="Reac4cbf50bd34865" /><Relationship Type="http://schemas.openxmlformats.org/officeDocument/2006/relationships/worksheet" Target="/xl/worksheets/sheet3.xml" Id="R343d492f08854366" /><Relationship Type="http://schemas.openxmlformats.org/officeDocument/2006/relationships/worksheet" Target="/xl/worksheets/sheet4.xml" Id="Rd9266c67cb054cd3" /><Relationship Type="http://schemas.openxmlformats.org/officeDocument/2006/relationships/worksheet" Target="/xl/worksheets/sheet5.xml" Id="R982432323fa04756" /><Relationship Type="http://schemas.openxmlformats.org/officeDocument/2006/relationships/worksheet" Target="/xl/worksheets/sheet6.xml" Id="Rd20f463a85284040" /><Relationship Type="http://schemas.openxmlformats.org/officeDocument/2006/relationships/worksheet" Target="/xl/worksheets/sheet7.xml" Id="Rcd5283f4880346fe" /><Relationship Type="http://schemas.openxmlformats.org/officeDocument/2006/relationships/worksheet" Target="/xl/worksheets/sheet8.xml" Id="Rbb569202ee0a48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8" hidden="0" customWidth="1"/>
  </x:cols>
  <x:sheetData>
    <x:row r="1" ht="34" customHeight="1">
      <x:c r="A1" s="380" t="str">
        <x:v>Итог - финансовая модель Альфа.Пульс</x:v>
      </x:c>
      <x:c r="B1" s="381"/>
      <x:c r="C1" s="381"/>
      <x:c r="D1" s="381"/>
      <x:c r="E1" s="381"/>
      <x:c r="F1" s="382"/>
      <x:c r="G1" s="383"/>
      <x:c r="H1" s="383"/>
    </x:row>
    <x:row r="2">
      <x:c r="A2" s="384"/>
      <x:c r="B2" s="388"/>
      <x:c r="C2" s="388"/>
      <x:c r="D2" s="388"/>
      <x:c r="E2" s="388"/>
      <x:c r="F2" s="389"/>
      <x:c r="G2" s="390"/>
      <x:c r="H2" s="390"/>
    </x:row>
    <x:row r="3">
      <x:c r="A3" s="353"/>
      <x:c r="B3" s="351"/>
      <x:c r="C3" s="351"/>
      <x:c r="D3" s="351"/>
      <x:c r="E3" s="351"/>
      <x:c r="F3" s="352"/>
    </x:row>
    <x:row r="4">
      <x:c r="A4" s="395" t="str">
        <x:v>Главные выводы</x:v>
      </x:c>
      <x:c r="B4" s="399"/>
      <x:c r="C4" s="399"/>
      <x:c r="D4" s="399"/>
      <x:c r="E4" s="399"/>
      <x:c r="F4" s="400"/>
      <x:c r="G4" s="401"/>
      <x:c r="H4" s="401"/>
    </x:row>
    <x:row r="5">
      <x:c r="A5" s="402" t="str">
        <x:v>KPI</x:v>
      </x:c>
      <x:c r="B5" s="403" t="str">
        <x:v>Консервативный</x:v>
      </x:c>
      <x:c r="C5" s="403" t="str">
        <x:v>Базовый</x:v>
      </x:c>
      <x:c r="D5" s="403" t="str">
        <x:v>Оптимистичный</x:v>
      </x:c>
      <x:c r="E5" s="403" t="str">
        <x:v>Как читать</x:v>
      </x:c>
      <x:c r="F5" s="404" t="str">
        <x:v>Статус</x:v>
      </x:c>
      <x:c r="G5" s="407"/>
      <x:c r="H5" s="407"/>
    </x:row>
    <x:row r="6">
      <x:c r="A6" s="353" t="str">
        <x:v>Стоимость запуска</x:v>
      </x:c>
      <x:c r="B6" s="358" t="n">
        <x:f>'Benefits'!B16</x:f>
        <x:v>97461600</x:v>
      </x:c>
      <x:c r="C6" s="358" t="n">
        <x:f>'Benefits'!C16</x:f>
        <x:v>86885000</x:v>
      </x:c>
      <x:c r="D6" s="358" t="n">
        <x:f>'Benefits'!D16</x:f>
        <x:v>77160800</x:v>
      </x:c>
      <x:c r="E6" s="351" t="str">
        <x:v>Разовые инвестиции до production</x:v>
      </x:c>
      <x:c r="F6" s="352" t="str"/>
    </x:row>
    <x:row r="7">
      <x:c r="A7" s="353" t="str">
        <x:v>Годовой OPEX</x:v>
      </x:c>
      <x:c r="B7" s="358" t="n">
        <x:f>'Benefits'!B14</x:f>
        <x:v>53382400</x:v>
      </x:c>
      <x:c r="C7" s="358" t="n">
        <x:f>'Benefits'!C14</x:f>
        <x:v>54555600</x:v>
      </x:c>
      <x:c r="D7" s="358" t="n">
        <x:f>'Benefits'!D14</x:f>
        <x:v>57728800</x:v>
      </x:c>
      <x:c r="E7" s="351" t="str">
        <x:v>Поддержка и инфраструктура каждый год</x:v>
      </x:c>
      <x:c r="F7" s="352" t="str"/>
    </x:row>
    <x:row r="8">
      <x:c r="A8" s="353" t="str">
        <x:v>Годовая валовая выгода</x:v>
      </x:c>
      <x:c r="B8" s="358" t="n">
        <x:f>'Benefits'!B13</x:f>
        <x:v>101902443</x:v>
      </x:c>
      <x:c r="C8" s="358" t="n">
        <x:f>'Benefits'!C13</x:f>
        <x:v>129196500</x:v>
      </x:c>
      <x:c r="D8" s="358" t="n">
        <x:f>'Benefits'!D13</x:f>
        <x:v>256432675</x:v>
      </x:c>
      <x:c r="E8" s="351" t="str">
        <x:v>Удержание + эквайринг + кросс-селл + риск</x:v>
      </x:c>
      <x:c r="F8" s="352" t="str"/>
    </x:row>
    <x:row r="9">
      <x:c r="A9" s="353" t="str">
        <x:v>Годовая чистая выгода</x:v>
      </x:c>
      <x:c r="B9" s="408" t="n">
        <x:f>'Benefits'!B15</x:f>
        <x:v>48520043</x:v>
      </x:c>
      <x:c r="C9" s="408" t="n">
        <x:f>'Benefits'!C15</x:f>
        <x:v>74640900</x:v>
      </x:c>
      <x:c r="D9" s="408" t="n">
        <x:f>'Benefits'!D15</x:f>
        <x:v>198703875</x:v>
      </x:c>
      <x:c r="E9" s="351" t="str">
        <x:v>Выгода после годового OPEX</x:v>
      </x:c>
      <x:c r="F9" s="352" t="str"/>
    </x:row>
    <x:row r="10">
      <x:c r="A10" s="413" t="str">
        <x:v>Чистый эффект за 3 года после запуска</x:v>
      </x:c>
      <x:c r="B10" s="414" t="n">
        <x:f>'Benefits'!B19</x:f>
        <x:v>48098529</x:v>
      </x:c>
      <x:c r="C10" s="414" t="n">
        <x:f>'Benefits'!C19</x:f>
        <x:v>137037700</x:v>
      </x:c>
      <x:c r="D10" s="414" t="n">
        <x:f>'Benefits'!D19</x:f>
        <x:v>518950825</x:v>
      </x:c>
      <x:c r="E10" s="415" t="str">
        <x:v>Выгода - OPEX - стоимость запуска</x:v>
      </x:c>
      <x:c r="F10" s="416" t="str"/>
      <x:c r="G10" s="417"/>
      <x:c r="H10" s="417"/>
    </x:row>
    <x:row r="11">
      <x:c r="A11" s="353" t="str">
        <x:v>ROI за 3 года</x:v>
      </x:c>
      <x:c r="B11" s="418" t="n">
        <x:f>'Benefits'!B20</x:f>
        <x:v>0.4935126141988229</x:v>
      </x:c>
      <x:c r="C11" s="418" t="n">
        <x:f>'Benefits'!C20</x:f>
        <x:v>1.577230822351384</x:v>
      </x:c>
      <x:c r="D11" s="418" t="n">
        <x:f>'Benefits'!D20</x:f>
        <x:v>6.725576004914412</x:v>
      </x:c>
      <x:c r="E11" s="351" t="str">
        <x:v>Чистый эффект за 3 года / стоимость запуска</x:v>
      </x:c>
      <x:c r="F11" s="352" t="str"/>
    </x:row>
    <x:row r="12">
      <x:c r="A12" s="353" t="str">
        <x:v>Месяц окупаемости</x:v>
      </x:c>
      <x:c r="B12" s="360" t="n">
        <x:f>'Benefits'!B21</x:f>
        <x:v>32</x:v>
      </x:c>
      <x:c r="C12" s="360" t="n">
        <x:f>'Benefits'!C21</x:f>
        <x:v>22</x:v>
      </x:c>
      <x:c r="D12" s="360" t="n">
        <x:f>'Benefits'!D21</x:f>
        <x:v>13</x:v>
      </x:c>
      <x:c r="E12" s="351" t="str">
        <x:v>Месяц от старта проекта</x:v>
      </x:c>
      <x:c r="F12" s="352" t="str"/>
    </x:row>
    <x:row r="13">
      <x:c r="A13" s="353" t="str">
        <x:v>NPV</x:v>
      </x:c>
      <x:c r="B13" s="408" t="n">
        <x:f>'Benefits'!B22</x:f>
        <x:v>1628042</x:v>
      </x:c>
      <x:c r="C13" s="408" t="n">
        <x:f>'Benefits'!C22</x:f>
        <x:v>70344674</x:v>
      </x:c>
      <x:c r="D13" s="408" t="n">
        <x:f>'Benefits'!D22</x:f>
        <x:v>354875656</x:v>
      </x:c>
      <x:c r="E13" s="351" t="str">
        <x:v>Дисконтированный эффект по ставке сценария</x:v>
      </x:c>
      <x:c r="F13" s="352" t="str"/>
    </x:row>
    <x:row r="14">
      <x:c r="A14" s="353" t="str">
        <x:v>Годовая выгода / активный клиент</x:v>
      </x:c>
      <x:c r="B14" s="358" t="n">
        <x:f>'Scenarios'!B15</x:f>
        <x:v>788.7185990712074</x:v>
      </x:c>
      <x:c r="C14" s="358" t="n">
        <x:f>'Scenarios'!C15</x:f>
        <x:v>1148.4133333333334</x:v>
      </x:c>
      <x:c r="D14" s="358" t="n">
        <x:f>'Scenarios'!D15</x:f>
        <x:v>1643.7991987179487</x:v>
      </x:c>
      <x:c r="E14" s="351" t="str">
        <x:v>Сколько денег даёт один активный пользователь до OPEX</x:v>
      </x:c>
      <x:c r="F14" s="352" t="str"/>
    </x:row>
    <x:row r="15">
      <x:c r="A15" s="353" t="str">
        <x:v>Клиентов для break-even</x:v>
      </x:c>
      <x:c r="B15" s="360" t="n">
        <x:f>'Scenarios'!B17</x:f>
        <x:v>178111.68668448902</x:v>
      </x:c>
      <x:c r="C15" s="360" t="n">
        <x:f>'Scenarios'!C17</x:f>
        <x:v>105567.10127596334</x:v>
      </x:c>
      <x:c r="D15" s="360" t="n">
        <x:f>'Scenarios'!D17</x:f>
        <x:v>67536.79108951306</x:v>
      </x:c>
      <x:c r="E15" s="351" t="str">
        <x:v>Масштаб, при котором годовой OPEX покрывается выгодой</x:v>
      </x:c>
      <x:c r="F15" s="352" t="str"/>
    </x:row>
    <x:row r="16">
      <x:c r="A16" s="395" t="str">
        <x:v>Вывод для инвесткомитета</x:v>
      </x:c>
      <x:c r="B16" s="399"/>
      <x:c r="C16" s="399"/>
      <x:c r="D16" s="399"/>
      <x:c r="E16" s="399"/>
      <x:c r="F16" s="400"/>
      <x:c r="G16" s="401"/>
      <x:c r="H16" s="401"/>
    </x:row>
    <x:row r="17">
      <x:c r="A17" s="361" t="str">
        <x:v>Базовый сценарий</x:v>
      </x:c>
      <x:c r="B17" s="351" t="str">
        <x:v>При rollout на 250 000 клиентов, 45% активных пользователей и снижении оттока на 1,5 п.п. проект становится прибыльным без завышенных ROI.</x:v>
      </x:c>
      <x:c r="C17" s="351" t="str"/>
      <x:c r="D17" s="351" t="str"/>
      <x:c r="E17" s="351" t="str"/>
      <x:c r="F17" s="352" t="str"/>
    </x:row>
    <x:row r="18">
      <x:c r="A18" s="361" t="str">
        <x:v>Реализм затрат</x:v>
      </x:c>
      <x:c r="B18" s="351" t="str">
        <x:v>Стоимость включает банковские интеграции, ИБ, поддержку и опциональный LLM. MVP из репозитория не равен production-интеграции банка.</x:v>
      </x:c>
      <x:c r="C18" s="351" t="str"/>
      <x:c r="D18" s="351" t="str"/>
      <x:c r="E18" s="351" t="str"/>
      <x:c r="F18" s="352" t="str"/>
    </x:row>
    <x:row r="19">
      <x:c r="A19" s="361" t="str">
        <x:v>Главный драйвер</x:v>
      </x:c>
      <x:c r="B19" s="351" t="str">
        <x:v>Самые важные допущения: прибыль банка на активного SMB-клиента и реальное снижение оттока.</x:v>
      </x:c>
      <x:c r="C19" s="351" t="str"/>
      <x:c r="D19" s="351" t="str"/>
      <x:c r="E19" s="351" t="str"/>
      <x:c r="F19" s="352" t="str"/>
    </x:row>
    <x:row r="20">
      <x:c r="A20" s="361" t="str">
        <x:v>Что делать</x:v>
      </x:c>
      <x:c r="B20" s="351" t="str">
        <x:v>Показывать жюри не маленький пилот как отдельный бизнес, а связку: пилот доказывает uplift, rollout даёт банковскую экономику.</x:v>
      </x:c>
      <x:c r="C20" s="351" t="str"/>
      <x:c r="D20" s="351" t="str"/>
      <x:c r="E20" s="351" t="str"/>
      <x:c r="F20" s="352" t="str"/>
    </x:row>
    <x:row r="21">
      <x:c r="A21" s="353"/>
      <x:c r="B21" s="351"/>
      <x:c r="C21" s="351"/>
      <x:c r="D21" s="351"/>
      <x:c r="E21" s="351"/>
      <x:c r="F21" s="352"/>
    </x:row>
    <x:row r="22">
      <x:c r="A22" s="353"/>
      <x:c r="B22" s="351"/>
      <x:c r="C22" s="351"/>
      <x:c r="D22" s="351"/>
      <x:c r="E22" s="351"/>
      <x:c r="F22" s="352"/>
    </x:row>
    <x:row r="23">
      <x:c r="A23" s="395" t="str">
        <x:v>Важно про источники и допущения</x:v>
      </x:c>
      <x:c r="B23" s="399"/>
      <x:c r="C23" s="399"/>
      <x:c r="D23" s="399"/>
      <x:c r="E23" s="399"/>
      <x:c r="F23" s="400"/>
      <x:c r="G23" s="401"/>
      <x:c r="H23" s="401"/>
    </x:row>
    <x:row r="24">
      <x:c r="A24" s="353" t="str">
        <x:v>Публичные якоря</x:v>
      </x:c>
      <x:c r="B24" s="351" t="str">
        <x:v>Тарифы Альфа-Банка, зарплаты Habr Career, цены Yandex Cloud и архитектура репозитория указаны на листе Sources.</x:v>
      </x:c>
      <x:c r="C24" s="351" t="str"/>
      <x:c r="D24" s="351" t="str"/>
      <x:c r="E24" s="351" t="str"/>
      <x:c r="F24" s="352" t="str"/>
    </x:row>
    <x:row r="25">
      <x:c r="A25" s="353" t="str">
        <x:v>Допущения</x:v>
      </x:c>
      <x:c r="B25" s="351" t="str">
        <x:v>Юнит-экономика банка, churn, adoption и retention uplift не публичны. Для реального инвесткомитета их нужно заменить внутренними данными Альфа-Банка.</x:v>
      </x:c>
      <x:c r="C25" s="351" t="str"/>
      <x:c r="D25" s="351" t="str"/>
      <x:c r="E25" s="351" t="str"/>
      <x:c r="F25" s="352" t="str"/>
    </x:row>
    <x:row r="26">
      <x:c r="A26" s="362" t="str">
        <x:v>Статус модели</x:v>
      </x:c>
      <x:c r="B26" s="363" t="str">
        <x:f>'Checks'!B5</x:f>
        <x:v>PASS</x:v>
      </x:c>
      <x:c r="C26" s="363" t="str"/>
      <x:c r="D26" s="363" t="str"/>
      <x:c r="E26" s="363" t="str"/>
      <x:c r="F26" s="364" t="str"/>
    </x:row>
  </x:sheetData>
  <x:mergeCells>
    <x:mergeCell ref="A1:H1"/>
    <x:mergeCell ref="A2:H2"/>
    <x:mergeCell ref="A4:F4"/>
    <x:mergeCell ref="A16:F16"/>
    <x:mergeCell ref="B17:F17"/>
    <x:mergeCell ref="B18:F18"/>
    <x:mergeCell ref="B19:F19"/>
    <x:mergeCell ref="B20:F20"/>
    <x:mergeCell ref="A23:F23"/>
    <x:mergeCell ref="B24:F24"/>
    <x:mergeCell ref="B25:F25"/>
    <x:mergeCell ref="B26:F26"/>
  </x:mergeCells>
  <x:conditionalFormatting sqref="B11:D11">
    <x:cfRule type="colorScale" priority="1">
      <x:colorScale>
        <x:cfvo type="min"/>
        <x:cfvo type="percentile" val="50"/>
        <x:cfvo type="max"/>
        <x:color rgb="FFD9EAD3"/>
        <x:color rgb="FFFFF2CC"/>
        <x:color rgb="FFD9EAD3"/>
      </x:colorScale>
    </x:cfRule>
  </x:conditionalFormatting>
  <x:conditionalFormatting sqref="B13:D13">
    <x:cfRule type="colorScale" priority="2">
      <x:colorScale>
        <x:cfvo type="min"/>
        <x:cfvo type="percentile" val="50"/>
        <x:cfvo type="max"/>
        <x:color rgb="FFD9EAD3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52" hidden="0" customWidth="1"/>
  </x:cols>
  <x:sheetData>
    <x:row r="1" ht="34" customHeight="1">
      <x:c r="A1" s="380" t="str">
        <x:v>Вводные - финансовая модель Альфа.Пульс</x:v>
      </x:c>
      <x:c r="B1" s="381"/>
      <x:c r="C1" s="381"/>
      <x:c r="D1" s="381"/>
      <x:c r="E1" s="381"/>
      <x:c r="F1" s="381"/>
      <x:c r="G1" s="381"/>
      <x:c r="H1" s="382"/>
    </x:row>
    <x:row r="2">
      <x:c r="A2" s="384"/>
      <x:c r="B2" s="388"/>
      <x:c r="C2" s="388"/>
      <x:c r="D2" s="388"/>
      <x:c r="E2" s="388"/>
      <x:c r="F2" s="388"/>
      <x:c r="G2" s="388"/>
      <x:c r="H2" s="389"/>
    </x:row>
    <x:row r="3">
      <x:c r="A3" s="353"/>
      <x:c r="B3" s="351"/>
      <x:c r="C3" s="351"/>
      <x:c r="D3" s="351"/>
      <x:c r="E3" s="351"/>
      <x:c r="F3" s="351"/>
      <x:c r="G3" s="351"/>
      <x:c r="H3" s="352"/>
    </x:row>
    <x:row r="4">
      <x:c r="A4" s="395" t="str">
        <x:v>Легенда и правила чтения модели</x:v>
      </x:c>
      <x:c r="B4" s="399"/>
      <x:c r="C4" s="399"/>
      <x:c r="D4" s="399"/>
      <x:c r="E4" s="399"/>
      <x:c r="F4" s="399"/>
      <x:c r="G4" s="399"/>
      <x:c r="H4" s="400"/>
    </x:row>
    <x:row r="5">
      <x:c r="A5" s="428" t="str">
        <x:v>Синий текст + жёлтая заливка</x:v>
      </x:c>
      <x:c r="B5" s="351" t="str">
        <x:v>Редактируемое допущение</x:v>
      </x:c>
      <x:c r="C5" s="351" t="str"/>
      <x:c r="D5" s="351" t="str"/>
      <x:c r="E5" s="351" t="str"/>
      <x:c r="F5" s="351" t="str"/>
      <x:c r="G5" s="351" t="str"/>
      <x:c r="H5" s="352" t="str"/>
    </x:row>
    <x:row r="6">
      <x:c r="A6" s="353" t="str">
        <x:v>Чёрный текст</x:v>
      </x:c>
      <x:c r="B6" s="351" t="str">
        <x:v>Формула или итоговый расчёт</x:v>
      </x:c>
      <x:c r="C6" s="351" t="str"/>
      <x:c r="D6" s="351" t="str"/>
      <x:c r="E6" s="351" t="str"/>
      <x:c r="F6" s="351" t="str"/>
      <x:c r="G6" s="351" t="str"/>
      <x:c r="H6" s="352" t="str"/>
    </x:row>
    <x:row r="7">
      <x:c r="A7" s="353" t="str">
        <x:v>Зелёный текст</x:v>
      </x:c>
      <x:c r="B7" s="351" t="str">
        <x:v>Ссылка на другой лист или источник</x:v>
      </x:c>
      <x:c r="C7" s="351" t="str"/>
      <x:c r="D7" s="351" t="str"/>
      <x:c r="E7" s="351" t="str"/>
      <x:c r="F7" s="351" t="str"/>
      <x:c r="G7" s="351" t="str"/>
      <x:c r="H7" s="352" t="str"/>
    </x:row>
    <x:row r="8">
      <x:c r="A8" s="353" t="str">
        <x:v>Валюта</x:v>
      </x:c>
      <x:c r="B8" s="351" t="str">
        <x:v>Рубли, номинальные значения, до налогов проекта, если не указано иное</x:v>
      </x:c>
      <x:c r="C8" s="351" t="str"/>
      <x:c r="D8" s="351" t="str"/>
      <x:c r="E8" s="351" t="str"/>
      <x:c r="F8" s="351" t="str"/>
      <x:c r="G8" s="351" t="str"/>
      <x:c r="H8" s="352" t="str"/>
    </x:row>
    <x:row r="9">
      <x:c r="A9" s="353"/>
      <x:c r="B9" s="351"/>
      <x:c r="C9" s="351"/>
      <x:c r="D9" s="351"/>
      <x:c r="E9" s="351"/>
      <x:c r="F9" s="351"/>
      <x:c r="G9" s="351"/>
      <x:c r="H9" s="352"/>
    </x:row>
    <x:row r="10">
      <x:c r="A10" s="395" t="str">
        <x:v>Сценарные допущения</x:v>
      </x:c>
      <x:c r="B10" s="399"/>
      <x:c r="C10" s="399"/>
      <x:c r="D10" s="399"/>
      <x:c r="E10" s="399"/>
      <x:c r="F10" s="399"/>
      <x:c r="G10" s="399"/>
      <x:c r="H10" s="400"/>
    </x:row>
    <x:row r="11">
      <x:c r="A11" s="402" t="str">
        <x:v>Ключ</x:v>
      </x:c>
      <x:c r="B11" s="403" t="str">
        <x:v>Описание</x:v>
      </x:c>
      <x:c r="C11" s="403" t="str">
        <x:v>Консервативный</x:v>
      </x:c>
      <x:c r="D11" s="403" t="str">
        <x:v>Базовый</x:v>
      </x:c>
      <x:c r="E11" s="403" t="str">
        <x:v>Оптимистичный</x:v>
      </x:c>
      <x:c r="F11" s="403" t="str">
        <x:v>Единица</x:v>
      </x:c>
      <x:c r="G11" s="403" t="str">
        <x:v>Тип источника</x:v>
      </x:c>
      <x:c r="H11" s="404" t="str">
        <x:v>Источник / комментарий</x:v>
      </x:c>
    </x:row>
    <x:row r="12">
      <x:c r="A12" s="353" t="str">
        <x:v>pilot_clients</x:v>
      </x:c>
      <x:c r="B12" s="351" t="str">
        <x:v>Клиентов малого бизнеса в коммерческом rollout</x:v>
      </x:c>
      <x:c r="C12" s="442" t="n">
        <x:v>340000</x:v>
      </x:c>
      <x:c r="D12" s="442" t="n">
        <x:v>250000</x:v>
      </x:c>
      <x:c r="E12" s="442" t="n">
        <x:v>300000</x:v>
      </x:c>
      <x:c r="F12" s="351" t="str">
        <x:v>клиентов</x:v>
      </x:c>
      <x:c r="G12" s="351" t="str">
        <x:v>Допущение</x:v>
      </x:c>
      <x:c r="H12" s="352" t="str">
        <x:v>Масштаб коммерческого rollout после пилота; пилот на 10 000 нужен для проверки uplift</x:v>
      </x:c>
    </x:row>
    <x:row r="13">
      <x:c r="A13" s="353" t="str">
        <x:v>active_adoption</x:v>
      </x:c>
      <x:c r="B13" s="351" t="str">
        <x:v>Доля активных пользователей в месяц</x:v>
      </x:c>
      <x:c r="C13" s="443" t="n">
        <x:v>0.38</x:v>
      </x:c>
      <x:c r="D13" s="443" t="n">
        <x:v>0.45</x:v>
      </x:c>
      <x:c r="E13" s="443" t="n">
        <x:v>0.52</x:v>
      </x:c>
      <x:c r="F13" s="351" t="str">
        <x:v>% клиентов</x:v>
      </x:c>
      <x:c r="G13" s="351" t="str">
        <x:v>Допущение</x:v>
      </x:c>
      <x:c r="H13" s="352" t="str">
        <x:v>Оценка adoption среди подключённых клиентов</x:v>
      </x:c>
    </x:row>
    <x:row r="14">
      <x:c r="A14" s="353" t="str">
        <x:v>horizon_years</x:v>
      </x:c>
      <x:c r="B14" s="351" t="str">
        <x:v>Горизонт финансового прогноза</x:v>
      </x:c>
      <x:c r="C14" s="442" t="n">
        <x:v>3</x:v>
      </x:c>
      <x:c r="D14" s="442" t="n">
        <x:v>3</x:v>
      </x:c>
      <x:c r="E14" s="442" t="n">
        <x:v>3</x:v>
      </x:c>
      <x:c r="F14" s="351" t="str">
        <x:v>лет</x:v>
      </x:c>
      <x:c r="G14" s="351" t="str">
        <x:v>Допущение</x:v>
      </x:c>
      <x:c r="H14" s="352" t="str">
        <x:v>Горизонт для инвесткомитета</x:v>
      </x:c>
    </x:row>
    <x:row r="15">
      <x:c r="A15" s="353" t="str">
        <x:v>build_months</x:v>
      </x:c>
      <x:c r="B15" s="351" t="str">
        <x:v>Срок доведения до production</x:v>
      </x:c>
      <x:c r="C15" s="442" t="n">
        <x:v>8</x:v>
      </x:c>
      <x:c r="D15" s="442" t="n">
        <x:v>8</x:v>
      </x:c>
      <x:c r="E15" s="442" t="n">
        <x:v>8</x:v>
      </x:c>
      <x:c r="F15" s="351" t="str">
        <x:v>месяцев</x:v>
      </x:c>
      <x:c r="G15" s="351" t="str">
        <x:v>Допущение</x:v>
      </x:c>
      <x:c r="H15" s="352" t="str">
        <x:v>Срок реализации из плана проекта</x:v>
      </x:c>
    </x:row>
    <x:row r="16">
      <x:c r="A16" s="353" t="str">
        <x:v>discount_rate</x:v>
      </x:c>
      <x:c r="B16" s="351" t="str">
        <x:v>Ставка дисконтирования проекта в рублях</x:v>
      </x:c>
      <x:c r="C16" s="443" t="n">
        <x:v>0.22</x:v>
      </x:c>
      <x:c r="D16" s="443" t="n">
        <x:v>0.2</x:v>
      </x:c>
      <x:c r="E16" s="443" t="n">
        <x:v>0.18</x:v>
      </x:c>
      <x:c r="F16" s="351" t="str">
        <x:v>%</x:v>
      </x:c>
      <x:c r="G16" s="351" t="str">
        <x:v>Допущение</x:v>
      </x:c>
      <x:c r="H16" s="352" t="str">
        <x:v>Диапазон hurdle rate для рублёвого корпоративного проекта</x:v>
      </x:c>
    </x:row>
    <x:row r="17">
      <x:c r="A17" s="353" t="str">
        <x:v>fte_multiplier</x:v>
      </x:c>
      <x:c r="B17" s="351" t="str">
        <x:v>Коэффициент полной стоимости сотрудника к net-зарплате</x:v>
      </x:c>
      <x:c r="C17" s="444" t="n">
        <x:v>1.8</x:v>
      </x:c>
      <x:c r="D17" s="444" t="n">
        <x:v>1.7</x:v>
      </x:c>
      <x:c r="E17" s="444" t="n">
        <x:v>1.6</x:v>
      </x:c>
      <x:c r="F17" s="351" t="str">
        <x:v>x</x:v>
      </x:c>
      <x:c r="G17" s="351" t="str">
        <x:v>Допущение</x:v>
      </x:c>
      <x:c r="H17" s="352" t="str">
        <x:v>Налоги, бенефиты, офис, управление, накладные расходы</x:v>
      </x:c>
    </x:row>
    <x:row r="18">
      <x:c r="A18" s="353" t="str">
        <x:v>integration_contingency</x:v>
      </x:c>
      <x:c r="B18" s="351" t="str">
        <x:v>Резерв на банковские интеграции и ИБ</x:v>
      </x:c>
      <x:c r="C18" s="443" t="n">
        <x:v>0.3</x:v>
      </x:c>
      <x:c r="D18" s="443" t="n">
        <x:v>0.25</x:v>
      </x:c>
      <x:c r="E18" s="443" t="n">
        <x:v>0.2</x:v>
      </x:c>
      <x:c r="F18" s="351" t="str">
        <x:v>% от затрат команды</x:v>
      </x:c>
      <x:c r="G18" s="351" t="str">
        <x:v>Допущение</x:v>
      </x:c>
      <x:c r="H18" s="352" t="str">
        <x:v>Core banking, ИБ, комплаенс, релизные риски</x:v>
      </x:c>
    </x:row>
    <x:row r="19">
      <x:c r="A19" s="353" t="str">
        <x:v>annual_support_inflation</x:v>
      </x:c>
      <x:c r="B19" s="351" t="str">
        <x:v>Годовая инфляция расходов поддержки</x:v>
      </x:c>
      <x:c r="C19" s="443" t="n">
        <x:v>0.1</x:v>
      </x:c>
      <x:c r="D19" s="443" t="n">
        <x:v>0.08</x:v>
      </x:c>
      <x:c r="E19" s="443" t="n">
        <x:v>0.06</x:v>
      </x:c>
      <x:c r="F19" s="351" t="str">
        <x:v>%</x:v>
      </x:c>
      <x:c r="G19" s="351" t="str">
        <x:v>Допущение</x:v>
      </x:c>
      <x:c r="H19" s="352" t="str">
        <x:v>Рост зарплат и инфраструктуры</x:v>
      </x:c>
    </x:row>
    <x:row r="20">
      <x:c r="A20" s="353" t="str">
        <x:v>llm_enabled</x:v>
      </x:c>
      <x:c r="B20" s="351" t="str">
        <x:v>Включены LLM-рекомендации</x:v>
      </x:c>
      <x:c r="C20" s="442" t="n">
        <x:v>0</x:v>
      </x:c>
      <x:c r="D20" s="442" t="n">
        <x:v>1</x:v>
      </x:c>
      <x:c r="E20" s="442" t="n">
        <x:v>1</x:v>
      </x:c>
      <x:c r="F20" s="351" t="str">
        <x:v>0/1</x:v>
      </x:c>
      <x:c r="G20" s="351" t="str">
        <x:v>Допущение</x:v>
      </x:c>
      <x:c r="H20" s="352" t="str">
        <x:v>В коде сейчас rule-based советы; LLM — опциональное улучшение</x:v>
      </x:c>
    </x:row>
    <x:row r="21">
      <x:c r="A21" s="353" t="str">
        <x:v>annual_gross_profit_per_active_smb</x:v>
      </x:c>
      <x:c r="B21" s="351" t="str">
        <x:v>Годовая валовая прибыль банка на удержанного SMB-клиента</x:v>
      </x:c>
      <x:c r="C21" s="445" t="n">
        <x:v>25000</x:v>
      </x:c>
      <x:c r="D21" s="445" t="n">
        <x:v>30000</x:v>
      </x:c>
      <x:c r="E21" s="445" t="n">
        <x:v>34000</x:v>
      </x:c>
      <x:c r="F21" s="351" t="str">
        <x:v>руб./клиент/год</x:v>
      </x:c>
      <x:c r="G21" s="351" t="str">
        <x:v>Допущение</x:v>
      </x:c>
      <x:c r="H21" s="352" t="str">
        <x:v>Смешанный доход: РКО, эквайринг, платежи, остатки, комиссии</x:v>
      </x:c>
    </x:row>
    <x:row r="22">
      <x:c r="A22" s="353" t="str">
        <x:v>current_annual_churn</x:v>
      </x:c>
      <x:c r="B22" s="351" t="str">
        <x:v>Текущий годовой отток SMB-клиентов</x:v>
      </x:c>
      <x:c r="C22" s="446" t="n">
        <x:v>0.16</x:v>
      </x:c>
      <x:c r="D22" s="446" t="n">
        <x:v>0.15</x:v>
      </x:c>
      <x:c r="E22" s="446" t="n">
        <x:v>0.14</x:v>
      </x:c>
      <x:c r="F22" s="351" t="str">
        <x:v>% клиентов</x:v>
      </x:c>
      <x:c r="G22" s="351" t="str">
        <x:v>Допущение</x:v>
      </x:c>
      <x:c r="H22" s="352" t="str">
        <x:v>Непубличная метрика банка; задан сценарный диапазон</x:v>
      </x:c>
    </x:row>
    <x:row r="23">
      <x:c r="A23" s="353" t="str">
        <x:v>churn_reduction_pp</x:v>
      </x:c>
      <x:c r="B23" s="351" t="str">
        <x:v>Снижение оттока благодаря продукту</x:v>
      </x:c>
      <x:c r="C23" s="446" t="n">
        <x:v>0.012</x:v>
      </x:c>
      <x:c r="D23" s="446" t="n">
        <x:v>0.015</x:v>
      </x:c>
      <x:c r="E23" s="446" t="n">
        <x:v>0.02</x:v>
      </x:c>
      <x:c r="F23" s="351" t="str">
        <x:v>п.п.</x:v>
      </x:c>
      <x:c r="G23" s="351" t="str">
        <x:v>Допущение</x:v>
      </x:c>
      <x:c r="H23" s="352" t="str">
        <x:v>Эффект ранних предупреждений на активных пользователей</x:v>
      </x:c>
    </x:row>
    <x:row r="24">
      <x:c r="A24" s="353" t="str">
        <x:v>acquiring_client_share</x:v>
      </x:c>
      <x:c r="B24" s="351" t="str">
        <x:v>Доля активных клиентов с эквайрингом</x:v>
      </x:c>
      <x:c r="C24" s="446" t="n">
        <x:v>0.42</x:v>
      </x:c>
      <x:c r="D24" s="446" t="n">
        <x:v>0.45</x:v>
      </x:c>
      <x:c r="E24" s="446" t="n">
        <x:v>0.48</x:v>
      </x:c>
      <x:c r="F24" s="351" t="str">
        <x:v>% активных клиентов</x:v>
      </x:c>
      <x:c r="G24" s="351" t="str">
        <x:v>Допущение</x:v>
      </x:c>
      <x:c r="H24" s="352" t="str">
        <x:v>Целевые сегменты: кафе, бьюти, розница</x:v>
      </x:c>
    </x:row>
    <x:row r="25">
      <x:c r="A25" s="353" t="str">
        <x:v>avg_monthly_card_turnover</x:v>
      </x:c>
      <x:c r="B25" s="351" t="str">
        <x:v>Средний месячный оборот по картам на клиента с эквайрингом</x:v>
      </x:c>
      <x:c r="C25" s="445" t="n">
        <x:v>550000</x:v>
      </x:c>
      <x:c r="D25" s="445" t="n">
        <x:v>650000</x:v>
      </x:c>
      <x:c r="E25" s="445" t="n">
        <x:v>720000</x:v>
      </x:c>
      <x:c r="F25" s="351" t="str">
        <x:v>руб./месяц</x:v>
      </x:c>
      <x:c r="G25" s="351" t="str">
        <x:v>Допущение</x:v>
      </x:c>
      <x:c r="H25" s="352" t="str">
        <x:v>Оценка POS/card turnover для микробизнеса</x:v>
      </x:c>
    </x:row>
    <x:row r="26">
      <x:c r="A26" s="353" t="str">
        <x:v>acquiring_net_margin</x:v>
      </x:c>
      <x:c r="B26" s="351" t="str">
        <x:v>Чистая маржа банка на оборот эквайринга</x:v>
      </x:c>
      <x:c r="C26" s="446" t="n">
        <x:v>0.003</x:v>
      </x:c>
      <x:c r="D26" s="446" t="n">
        <x:v>0.0035</x:v>
      </x:c>
      <x:c r="E26" s="446" t="n">
        <x:v>0.004</x:v>
      </x:c>
      <x:c r="F26" s="351" t="str">
        <x:v>% оборота</x:v>
      </x:c>
      <x:c r="G26" s="351" t="str">
        <x:v>Допущение</x:v>
      </x:c>
      <x:c r="H26" s="352" t="str">
        <x:v>После платёжных систем, interchange и процессинга; публичный тариф используется как gross-якорь</x:v>
      </x:c>
    </x:row>
    <x:row r="27">
      <x:c r="A27" s="353" t="str">
        <x:v>turnover_uplift_pp</x:v>
      </x:c>
      <x:c r="B27" s="351" t="str">
        <x:v>Прирост оборота от рекомендаций</x:v>
      </x:c>
      <x:c r="C27" s="446" t="n">
        <x:v>0.006</x:v>
      </x:c>
      <x:c r="D27" s="446" t="n">
        <x:v>0.008</x:v>
      </x:c>
      <x:c r="E27" s="446" t="n">
        <x:v>0.009</x:v>
      </x:c>
      <x:c r="F27" s="351" t="str">
        <x:v>% оборота</x:v>
      </x:c>
      <x:c r="G27" s="351" t="str">
        <x:v>Допущение</x:v>
      </x:c>
      <x:c r="H27" s="352" t="str">
        <x:v>Инкрементальный оборот от действий и лучшей выживаемости бизнеса</x:v>
      </x:c>
    </x:row>
    <x:row r="28">
      <x:c r="A28" s="353" t="str">
        <x:v>cross_sell_conversion</x:v>
      </x:c>
      <x:c r="B28" s="351" t="str">
        <x:v>Годовая конверсия в платный продукт / кредит</x:v>
      </x:c>
      <x:c r="C28" s="446" t="n">
        <x:v>0.022</x:v>
      </x:c>
      <x:c r="D28" s="446" t="n">
        <x:v>0.025</x:v>
      </x:c>
      <x:c r="E28" s="446" t="n">
        <x:v>0.03</x:v>
      </x:c>
      <x:c r="F28" s="351" t="str">
        <x:v>% активных клиентов</x:v>
      </x:c>
      <x:c r="G28" s="351" t="str">
        <x:v>Допущение</x:v>
      </x:c>
      <x:c r="H28" s="352" t="str">
        <x:v>Кросс-селл кредитов, зарплатного проекта, платных пакетов и сервисов</x:v>
      </x:c>
    </x:row>
    <x:row r="29">
      <x:c r="A29" s="353" t="str">
        <x:v>profit_per_cross_sell</x:v>
      </x:c>
      <x:c r="B29" s="351" t="str">
        <x:v>Валовая прибыль на один кросс-селл продукт</x:v>
      </x:c>
      <x:c r="C29" s="445" t="n">
        <x:v>15000</x:v>
      </x:c>
      <x:c r="D29" s="445" t="n">
        <x:v>18000</x:v>
      </x:c>
      <x:c r="E29" s="445" t="n">
        <x:v>20000</x:v>
      </x:c>
      <x:c r="F29" s="351" t="str">
        <x:v>руб./год</x:v>
      </x:c>
      <x:c r="G29" s="351" t="str">
        <x:v>Допущение</x:v>
      </x:c>
      <x:c r="H29" s="352" t="str">
        <x:v>Смешанная годовая прибыль по продукту</x:v>
      </x:c>
    </x:row>
    <x:row r="30">
      <x:c r="A30" s="353" t="str">
        <x:v>credit_exposed_share</x:v>
      </x:c>
      <x:c r="B30" s="351" t="str">
        <x:v>Доля активных клиентов с кредитом / овердрафтом</x:v>
      </x:c>
      <x:c r="C30" s="443" t="n">
        <x:v>0.11</x:v>
      </x:c>
      <x:c r="D30" s="443" t="n">
        <x:v>0.12</x:v>
      </x:c>
      <x:c r="E30" s="443" t="n">
        <x:v>0.13</x:v>
      </x:c>
      <x:c r="F30" s="351" t="str">
        <x:v>% активных клиентов</x:v>
      </x:c>
      <x:c r="G30" s="351" t="str">
        <x:v>Допущение</x:v>
      </x:c>
      <x:c r="H30" s="352" t="str">
        <x:v>База для экономии на риске</x:v>
      </x:c>
    </x:row>
    <x:row r="31">
      <x:c r="A31" s="353" t="str">
        <x:v>avg_credit_exposure</x:v>
      </x:c>
      <x:c r="B31" s="351" t="str">
        <x:v>Средняя кредитная / овердрафтная экспозиция</x:v>
      </x:c>
      <x:c r="C31" s="445" t="n">
        <x:v>450000</x:v>
      </x:c>
      <x:c r="D31" s="445" t="n">
        <x:v>500000</x:v>
      </x:c>
      <x:c r="E31" s="445" t="n">
        <x:v>550000</x:v>
      </x:c>
      <x:c r="F31" s="351" t="str">
        <x:v>руб.</x:v>
      </x:c>
      <x:c r="G31" s="351" t="str">
        <x:v>Допущение</x:v>
      </x:c>
      <x:c r="H31" s="352" t="str">
        <x:v>Сумма под риском по части SMB-заёмщиков</x:v>
      </x:c>
    </x:row>
    <x:row r="32">
      <x:c r="A32" s="353" t="str">
        <x:v>loss_reduction_pp</x:v>
      </x:c>
      <x:c r="B32" s="351" t="str">
        <x:v>Снижение годовых кредитных потерь</x:v>
      </x:c>
      <x:c r="C32" s="446" t="n">
        <x:v>0.0022</x:v>
      </x:c>
      <x:c r="D32" s="446" t="n">
        <x:v>0.0025</x:v>
      </x:c>
      <x:c r="E32" s="446" t="n">
        <x:v>0.003</x:v>
      </x:c>
      <x:c r="F32" s="351" t="str">
        <x:v>% экспозиции</x:v>
      </x:c>
      <x:c r="G32" s="351" t="str">
        <x:v>Допущение</x:v>
      </x:c>
      <x:c r="H32" s="352" t="str">
        <x:v>Ранний сигнал помогает collections и управлению лимитами</x:v>
      </x:c>
    </x:row>
    <x:row r="33">
      <x:c r="A33" s="353" t="str">
        <x:v>infra_monthly_base</x:v>
      </x:c>
      <x:c r="B33" s="351" t="str">
        <x:v>Месячная production-инфраструктура</x:v>
      </x:c>
      <x:c r="C33" s="445" t="n">
        <x:v>450000</x:v>
      </x:c>
      <x:c r="D33" s="445" t="n">
        <x:v>650000</x:v>
      </x:c>
      <x:c r="E33" s="445" t="n">
        <x:v>950000</x:v>
      </x:c>
      <x:c r="F33" s="351" t="str">
        <x:v>руб./месяц</x:v>
      </x:c>
      <x:c r="G33" s="351" t="str">
        <x:v>Публичный ценовой якорь + допущение</x:v>
      </x:c>
      <x:c r="H33" s="352" t="str">
        <x:v>Прайс Yandex Cloud как нижняя граница</x:v>
      </x:c>
    </x:row>
    <x:row r="34">
      <x:c r="A34" s="353" t="str">
        <x:v>llm_monthly_cost</x:v>
      </x:c>
      <x:c r="B34" s="351" t="str">
        <x:v>Месячная стоимость LLM/API</x:v>
      </x:c>
      <x:c r="C34" s="445" t="n">
        <x:v>0</x:v>
      </x:c>
      <x:c r="D34" s="445" t="n">
        <x:v>150000</x:v>
      </x:c>
      <x:c r="E34" s="445" t="n">
        <x:v>300000</x:v>
      </x:c>
      <x:c r="F34" s="351" t="str">
        <x:v>руб./месяц</x:v>
      </x:c>
      <x:c r="G34" s="351" t="str">
        <x:v>Допущение</x:v>
      </x:c>
      <x:c r="H34" s="352" t="str">
        <x:v>Только если добавлять генеративные советы поверх rule-based логики</x:v>
      </x:c>
    </x:row>
    <x:row r="35">
      <x:c r="A35" s="362" t="str">
        <x:v>annual_security_audit</x:v>
      </x:c>
      <x:c r="B35" s="363" t="str">
        <x:v>Ежегодный аудит ИБ / pentest / комплаенс</x:v>
      </x:c>
      <x:c r="C35" s="447" t="n">
        <x:v>3500000</x:v>
      </x:c>
      <x:c r="D35" s="447" t="n">
        <x:v>4500000</x:v>
      </x:c>
      <x:c r="E35" s="447" t="n">
        <x:v>6000000</x:v>
      </x:c>
      <x:c r="F35" s="363" t="str">
        <x:v>руб./год</x:v>
      </x:c>
      <x:c r="G35" s="363" t="str">
        <x:v>Допущение</x:v>
      </x:c>
      <x:c r="H35" s="364" t="str">
        <x:v>Регулярные банковские контроли безопасности</x:v>
      </x:c>
    </x:row>
    <x:row r="36">
      <x:c r="C36" s="448"/>
      <x:c r="D36" s="448"/>
      <x:c r="E36" s="448"/>
    </x:row>
    <x:row r="37">
      <x:c r="C37" s="448"/>
      <x:c r="D37" s="448"/>
      <x:c r="E37" s="448"/>
    </x:row>
    <x:row r="38">
      <x:c r="C38" s="448"/>
      <x:c r="D38" s="448"/>
      <x:c r="E38" s="448"/>
    </x:row>
    <x:row r="39">
      <x:c r="C39" s="448"/>
      <x:c r="D39" s="448"/>
      <x:c r="E39" s="448"/>
    </x:row>
    <x:row r="40">
      <x:c r="C40" s="448"/>
      <x:c r="D40" s="448"/>
      <x:c r="E40" s="448"/>
    </x:row>
    <x:row r="41">
      <x:c r="C41" s="448"/>
      <x:c r="D41" s="448"/>
      <x:c r="E41" s="448"/>
    </x:row>
    <x:row r="42">
      <x:c r="C42" s="448"/>
      <x:c r="D42" s="448"/>
      <x:c r="E42" s="448"/>
    </x:row>
    <x:row r="43">
      <x:c r="C43" s="448"/>
      <x:c r="D43" s="448"/>
      <x:c r="E43" s="448"/>
    </x:row>
    <x:row r="44">
      <x:c r="C44" s="448"/>
      <x:c r="D44" s="448"/>
      <x:c r="E44" s="448"/>
    </x:row>
    <x:row r="45">
      <x:c r="C45" s="448"/>
      <x:c r="D45" s="448"/>
      <x:c r="E45" s="448"/>
    </x:row>
    <x:row r="46">
      <x:c r="C46" s="448"/>
      <x:c r="D46" s="448"/>
      <x:c r="E46" s="448"/>
    </x:row>
    <x:row r="47">
      <x:c r="C47" s="448"/>
      <x:c r="D47" s="448"/>
      <x:c r="E47" s="448"/>
    </x:row>
    <x:row r="48">
      <x:c r="C48" s="448"/>
      <x:c r="D48" s="448"/>
      <x:c r="E48" s="448"/>
    </x:row>
    <x:row r="49">
      <x:c r="C49" s="448"/>
      <x:c r="D49" s="448"/>
      <x:c r="E49" s="448"/>
    </x:row>
    <x:row r="50">
      <x:c r="C50" s="448"/>
      <x:c r="D50" s="448"/>
      <x:c r="E50" s="448"/>
    </x:row>
    <x:row r="51">
      <x:c r="C51" s="448"/>
      <x:c r="D51" s="448"/>
      <x:c r="E51" s="448"/>
    </x:row>
    <x:row r="52">
      <x:c r="C52" s="448"/>
      <x:c r="D52" s="448"/>
      <x:c r="E52" s="448"/>
    </x:row>
    <x:row r="53">
      <x:c r="C53" s="448"/>
      <x:c r="D53" s="448"/>
      <x:c r="E53" s="448"/>
    </x:row>
    <x:row r="54">
      <x:c r="C54" s="448"/>
      <x:c r="D54" s="448"/>
      <x:c r="E54" s="448"/>
    </x:row>
    <x:row r="55">
      <x:c r="C55" s="448"/>
      <x:c r="D55" s="448"/>
      <x:c r="E55" s="448"/>
    </x:row>
    <x:row r="56">
      <x:c r="C56" s="448"/>
      <x:c r="D56" s="448"/>
      <x:c r="E56" s="448"/>
    </x:row>
    <x:row r="57">
      <x:c r="C57" s="448"/>
      <x:c r="D57" s="448"/>
      <x:c r="E57" s="448"/>
    </x:row>
    <x:row r="58">
      <x:c r="C58" s="448"/>
      <x:c r="D58" s="448"/>
      <x:c r="E58" s="448"/>
    </x:row>
    <x:row r="59">
      <x:c r="C59" s="448"/>
      <x:c r="D59" s="448"/>
      <x:c r="E59" s="448"/>
    </x:row>
    <x:row r="60">
      <x:c r="C60" s="448"/>
      <x:c r="D60" s="448"/>
      <x:c r="E60" s="448"/>
    </x:row>
    <x:row r="61">
      <x:c r="C61" s="448"/>
      <x:c r="D61" s="448"/>
      <x:c r="E61" s="448"/>
    </x:row>
    <x:row r="62">
      <x:c r="C62" s="448"/>
      <x:c r="D62" s="448"/>
      <x:c r="E62" s="448"/>
    </x:row>
    <x:row r="63">
      <x:c r="C63" s="448"/>
      <x:c r="D63" s="448"/>
      <x:c r="E63" s="448"/>
    </x:row>
    <x:row r="64">
      <x:c r="C64" s="448"/>
      <x:c r="D64" s="448"/>
      <x:c r="E64" s="448"/>
    </x:row>
    <x:row r="65">
      <x:c r="C65" s="448"/>
      <x:c r="D65" s="448"/>
      <x:c r="E65" s="448"/>
    </x:row>
    <x:row r="66">
      <x:c r="C66" s="448"/>
      <x:c r="D66" s="448"/>
      <x:c r="E66" s="448"/>
    </x:row>
    <x:row r="67">
      <x:c r="C67" s="448"/>
      <x:c r="D67" s="448"/>
      <x:c r="E67" s="448"/>
    </x:row>
    <x:row r="68">
      <x:c r="C68" s="448"/>
      <x:c r="D68" s="448"/>
      <x:c r="E68" s="448"/>
    </x:row>
    <x:row r="69">
      <x:c r="C69" s="448"/>
      <x:c r="D69" s="448"/>
      <x:c r="E69" s="448"/>
    </x:row>
    <x:row r="70">
      <x:c r="C70" s="448"/>
      <x:c r="D70" s="448"/>
      <x:c r="E70" s="448"/>
    </x:row>
    <x:row r="71">
      <x:c r="C71" s="448"/>
      <x:c r="D71" s="448"/>
      <x:c r="E71" s="448"/>
    </x:row>
    <x:row r="72">
      <x:c r="C72" s="448"/>
      <x:c r="D72" s="448"/>
      <x:c r="E72" s="448"/>
    </x:row>
    <x:row r="73">
      <x:c r="C73" s="448"/>
      <x:c r="D73" s="448"/>
      <x:c r="E73" s="448"/>
    </x:row>
    <x:row r="74">
      <x:c r="C74" s="448"/>
      <x:c r="D74" s="448"/>
      <x:c r="E74" s="448"/>
    </x:row>
    <x:row r="75">
      <x:c r="C75" s="448"/>
      <x:c r="D75" s="448"/>
      <x:c r="E75" s="448"/>
    </x:row>
    <x:row r="76">
      <x:c r="C76" s="448"/>
      <x:c r="D76" s="448"/>
      <x:c r="E76" s="448"/>
    </x:row>
    <x:row r="77">
      <x:c r="C77" s="448"/>
      <x:c r="D77" s="448"/>
      <x:c r="E77" s="448"/>
    </x:row>
    <x:row r="78">
      <x:c r="C78" s="448"/>
      <x:c r="D78" s="448"/>
      <x:c r="E78" s="448"/>
    </x:row>
    <x:row r="79">
      <x:c r="C79" s="448"/>
      <x:c r="D79" s="448"/>
      <x:c r="E79" s="448"/>
    </x:row>
    <x:row r="80">
      <x:c r="C80" s="448"/>
      <x:c r="D80" s="448"/>
      <x:c r="E80" s="448"/>
    </x:row>
  </x:sheetData>
  <x:mergeCells>
    <x:mergeCell ref="A1:H1"/>
    <x:mergeCell ref="A2:H2"/>
    <x:mergeCell ref="A4:H4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44" hidden="0" customWidth="1"/>
    <x:col min="7" max="7" width="60" hidden="0" customWidth="1"/>
    <x:col min="8" max="8" width="38" hidden="0" customWidth="1"/>
    <x:col min="9" max="9" width="18" hidden="0" customWidth="1"/>
  </x:cols>
  <x:sheetData>
    <x:row r="1" ht="34" customHeight="1">
      <x:c r="A1" s="456" t="str">
        <x:v>Источники - публичные данные и допущения</x:v>
      </x:c>
      <x:c r="B1" s="457"/>
      <x:c r="C1" s="457"/>
      <x:c r="D1" s="457"/>
      <x:c r="E1" s="457"/>
      <x:c r="F1" s="457"/>
      <x:c r="G1" s="457"/>
      <x:c r="H1" s="457"/>
      <x:c r="I1" s="349"/>
    </x:row>
    <x:row r="2">
      <x:c r="A2" s="384"/>
      <x:c r="B2" s="388"/>
      <x:c r="C2" s="388"/>
      <x:c r="D2" s="388"/>
      <x:c r="E2" s="388"/>
      <x:c r="F2" s="388"/>
      <x:c r="G2" s="388"/>
      <x:c r="H2" s="388"/>
      <x:c r="I2" s="352"/>
    </x:row>
    <x:row r="3">
      <x:c r="A3" s="353"/>
      <x:c r="B3" s="351"/>
      <x:c r="C3" s="351"/>
      <x:c r="D3" s="351"/>
      <x:c r="E3" s="351"/>
      <x:c r="F3" s="351"/>
      <x:c r="G3" s="351"/>
      <x:c r="H3" s="351"/>
      <x:c r="I3" s="352"/>
    </x:row>
    <x:row r="4">
      <x:c r="A4" s="402" t="str">
        <x:v>Показатель</x:v>
      </x:c>
      <x:c r="B4" s="403" t="str">
        <x:v>Значение</x:v>
      </x:c>
      <x:c r="C4" s="403" t="str">
        <x:v>Единицы</x:v>
      </x:c>
      <x:c r="D4" s="403" t="str">
        <x:v>На дату</x:v>
      </x:c>
      <x:c r="E4" s="403" t="str">
        <x:v>Тип источника</x:v>
      </x:c>
      <x:c r="F4" s="403" t="str">
        <x:v>Источник</x:v>
      </x:c>
      <x:c r="G4" s="403" t="str">
        <x:v>URL / ссылка</x:v>
      </x:c>
      <x:c r="H4" s="403" t="str">
        <x:v>Комментарий</x:v>
      </x:c>
      <x:c r="I4" s="357" t="str">
        <x:v>Проверено</x:v>
      </x:c>
    </x:row>
    <x:row r="5">
      <x:c r="A5" s="353" t="str">
        <x:v>Тарифы РКО Альфа-Банка</x:v>
      </x:c>
      <x:c r="B5" s="454" t="str">
        <x:v>0 / 990 / 1 990 / 3 990</x:v>
      </x:c>
      <x:c r="C5" s="351" t="str">
        <x:v>руб./месяц</x:v>
      </x:c>
      <x:c r="D5" s="351" t="str">
        <x:v>2026</x:v>
      </x:c>
      <x:c r="E5" s="351" t="str">
        <x:v>Публичный сайт</x:v>
      </x:c>
      <x:c r="F5" s="351" t="str">
        <x:v>Тарифы Альфа-Банка для бизнеса</x:v>
      </x:c>
      <x:c r="G5" s="351" t="str">
        <x:v>https://alfabank.ru/sme/tariffs/</x:v>
      </x:c>
      <x:c r="H5" s="351" t="str">
        <x:v>Публичный якорь для дохода РКО; точная клиентская смесь является внутренней метрикой банка</x:v>
      </x:c>
      <x:c r="I5" s="352" t="str">
        <x:v>2026-07-16</x:v>
      </x:c>
    </x:row>
    <x:row r="6">
      <x:c r="A6" s="353" t="str">
        <x:v>Тариф эквайринга Альфа-Банка</x:v>
      </x:c>
      <x:c r="B6" s="454" t="str">
        <x:v>от 1,0%</x:v>
      </x:c>
      <x:c r="C6" s="351" t="str">
        <x:v>% оборота</x:v>
      </x:c>
      <x:c r="D6" s="351" t="str">
        <x:v>2026</x:v>
      </x:c>
      <x:c r="E6" s="351" t="str">
        <x:v>Публичный сайт</x:v>
      </x:c>
      <x:c r="F6" s="351" t="str">
        <x:v>Эквайринг Альфа-Банка</x:v>
      </x:c>
      <x:c r="G6" s="351" t="str">
        <x:v>https://alfabank.ru/sme/agent/acquiring/</x:v>
      </x:c>
      <x:c r="H6" s="351" t="str">
        <x:v>Gross-якорь тарифа; в модели используется более низкая чистая маржа банка</x:v>
      </x:c>
      <x:c r="I6" s="352" t="str">
        <x:v>2026-07-16</x:v>
      </x:c>
    </x:row>
    <x:row r="7">
      <x:c r="A7" s="353" t="str">
        <x:v>Ориентир зарплат IT</x:v>
      </x:c>
      <x:c r="B7" s="454" t="str">
        <x:v>230 000</x:v>
      </x:c>
      <x:c r="C7" s="351" t="str">
        <x:v>руб./месяц net, Москва</x:v>
      </x:c>
      <x:c r="D7" s="351" t="str">
        <x:v>2П 2025</x:v>
      </x:c>
      <x:c r="E7" s="351" t="str">
        <x:v>Публичный обзор зарплат</x:v>
      </x:c>
      <x:c r="F7" s="351" t="str">
        <x:v>Habr Career</x:v>
      </x:c>
      <x:c r="G7" s="351" t="str">
        <x:v>https://career.habr.com/salaries</x:v>
      </x:c>
      <x:c r="H7" s="351" t="str">
        <x:v>Широкий ориентир по московскому IT-рынку</x:v>
      </x:c>
      <x:c r="I7" s="352" t="str">
        <x:v>2026-07-16</x:v>
      </x:c>
    </x:row>
    <x:row r="8">
      <x:c r="A8" s="353" t="str">
        <x:v>Ориентир зарплат Golang</x:v>
      </x:c>
      <x:c r="B8" s="454" t="str">
        <x:v>320 000</x:v>
      </x:c>
      <x:c r="C8" s="351" t="str">
        <x:v>руб./месяц net</x:v>
      </x:c>
      <x:c r="D8" s="351" t="str">
        <x:v>2П 2025</x:v>
      </x:c>
      <x:c r="E8" s="351" t="str">
        <x:v>Публичный обзор зарплат / допущение</x:v>
      </x:c>
      <x:c r="F8" s="351" t="str">
        <x:v>Habr Career</x:v>
      </x:c>
      <x:c r="G8" s="351" t="str">
        <x:v>https://career.habr.com/salaries</x:v>
      </x:c>
      <x:c r="H8" s="351" t="str">
        <x:v>Якорь для backend Go; точное значение задано как рыночное допущение</x:v>
      </x:c>
      <x:c r="I8" s="352" t="str">
        <x:v>2026-07-16</x:v>
      </x:c>
    </x:row>
    <x:row r="9">
      <x:c r="A9" s="353" t="str">
        <x:v>Yandex Cloud Compute</x:v>
      </x:c>
      <x:c r="B9" s="454" t="str">
        <x:v>Публичный прайс</x:v>
      </x:c>
      <x:c r="C9" s="351" t="str">
        <x:v>руб./час</x:v>
      </x:c>
      <x:c r="D9" s="351" t="str">
        <x:v>2026</x:v>
      </x:c>
      <x:c r="E9" s="351" t="str">
        <x:v>Публичный сайт</x:v>
      </x:c>
      <x:c r="F9" s="351" t="str">
        <x:v>Прайс Yandex Cloud Compute</x:v>
      </x:c>
      <x:c r="G9" s="351" t="str">
        <x:v>https://yandex.cloud/ru/prices</x:v>
      </x:c>
      <x:c r="H9" s="351" t="str">
        <x:v>Якорь для инфраструктурного OPEX; банк может использовать private cloud/on-prem</x:v>
      </x:c>
      <x:c r="I9" s="352" t="str">
        <x:v>2026-07-16</x:v>
      </x:c>
    </x:row>
    <x:row r="10">
      <x:c r="A10" s="353" t="str">
        <x:v>Yandex Managed PostgreSQL</x:v>
      </x:c>
      <x:c r="B10" s="454" t="str">
        <x:v>Публичный прайс</x:v>
      </x:c>
      <x:c r="C10" s="351" t="str">
        <x:v>руб./час</x:v>
      </x:c>
      <x:c r="D10" s="351" t="str">
        <x:v>2026</x:v>
      </x:c>
      <x:c r="E10" s="351" t="str">
        <x:v>Публичный сайт</x:v>
      </x:c>
      <x:c r="F10" s="351" t="str">
        <x:v>Прайс Managed PostgreSQL</x:v>
      </x:c>
      <x:c r="G10" s="351" t="str">
        <x:v>https://yandex.cloud/ru/docs/managed-postgresql/pricing</x:v>
      </x:c>
      <x:c r="H10" s="351" t="str">
        <x:v>Нижняя граница стоимости БД</x:v>
      </x:c>
      <x:c r="I10" s="352" t="str">
        <x:v>2026-07-16</x:v>
      </x:c>
    </x:row>
    <x:row r="11">
      <x:c r="A11" s="353" t="str">
        <x:v>Yandex Managed Valkey/Redis</x:v>
      </x:c>
      <x:c r="B11" s="454" t="str">
        <x:v>Публичный прайс</x:v>
      </x:c>
      <x:c r="C11" s="351" t="str">
        <x:v>руб./час</x:v>
      </x:c>
      <x:c r="D11" s="351" t="str">
        <x:v>2026</x:v>
      </x:c>
      <x:c r="E11" s="351" t="str">
        <x:v>Публичный сайт</x:v>
      </x:c>
      <x:c r="F11" s="351" t="str">
        <x:v>Прайс Managed Valkey/Redis</x:v>
      </x:c>
      <x:c r="G11" s="351" t="str">
        <x:v>https://yandex.cloud/ru/docs/managed-redis/pricing</x:v>
      </x:c>
      <x:c r="H11" s="351" t="str">
        <x:v>Нижняя граница стоимости Redis/Valkey</x:v>
      </x:c>
      <x:c r="I11" s="352" t="str">
        <x:v>2026-07-16</x:v>
      </x:c>
    </x:row>
    <x:row r="12">
      <x:c r="A12" s="353" t="str">
        <x:v>Архитектура репозитория</x:v>
      </x:c>
      <x:c r="B12" s="454" t="str">
        <x:v>Go + React + Python ML + Postgres + Redis</x:v>
      </x:c>
      <x:c r="C12" s="351" t="str">
        <x:v>стек</x:v>
      </x:c>
      <x:c r="D12" s="351" t="str">
        <x:v>2026-07-16</x:v>
      </x:c>
      <x:c r="E12" s="351" t="str">
        <x:v>Исходный код проекта</x:v>
      </x:c>
      <x:c r="F12" s="351" t="str">
        <x:v>Ai-agent-for-business-audit</x:v>
      </x:c>
      <x:c r="G12" s="351" t="str">
        <x:v>https://github.com/dimortix/Ai-agent-for-business-audit</x:v>
      </x:c>
      <x:c r="H12" s="351" t="str">
        <x:v>MVP: CSV-импорт, Prophet/Holt-Winters, правила, push/Telegram</x:v>
      </x:c>
      <x:c r="I12" s="352" t="str">
        <x:v>2026-07-16</x:v>
      </x:c>
    </x:row>
    <x:row r="13">
      <x:c r="A13" s="353" t="str">
        <x:v>Юнит-экономика SMB банка</x:v>
      </x:c>
      <x:c r="B13" s="454" t="str">
        <x:v>Сценарный диапазон</x:v>
      </x:c>
      <x:c r="C13" s="351" t="str">
        <x:v>руб./клиент/год</x:v>
      </x:c>
      <x:c r="D13" s="351" t="str">
        <x:v>2026</x:v>
      </x:c>
      <x:c r="E13" s="351" t="str">
        <x:v>Допущение</x:v>
      </x:c>
      <x:c r="F13" s="351" t="str">
        <x:v>Внутренняя метрика банка не публична</x:v>
      </x:c>
      <x:c r="G13" s="351" t="str">
        <x:v>N/A</x:v>
      </x:c>
      <x:c r="H13" s="351" t="str">
        <x:v>Годовую валовую прибыль на активного SMB-клиента нужно заменить внутренними данными Альфа-Банка</x:v>
      </x:c>
      <x:c r="I13" s="352" t="str">
        <x:v>2026-07-16</x:v>
      </x:c>
    </x:row>
    <x:row r="14">
      <x:c r="A14" s="353" t="str">
        <x:v>Отток и эффект удержания</x:v>
      </x:c>
      <x:c r="B14" s="454" t="str">
        <x:v>Сценарный диапазон</x:v>
      </x:c>
      <x:c r="C14" s="351" t="str">
        <x:v>п.п./год</x:v>
      </x:c>
      <x:c r="D14" s="351" t="str">
        <x:v>2026</x:v>
      </x:c>
      <x:c r="E14" s="351" t="str">
        <x:v>Допущение</x:v>
      </x:c>
      <x:c r="F14" s="351" t="str">
        <x:v>Внутренняя метрика банка не публична</x:v>
      </x:c>
      <x:c r="G14" s="351" t="str">
        <x:v>N/A</x:v>
      </x:c>
      <x:c r="H14" s="351" t="str">
        <x:v>Ключевой драйвер ценности; вынесен в сценарии</x:v>
      </x:c>
      <x:c r="I14" s="352" t="str">
        <x:v>2026-07-16</x:v>
      </x:c>
    </x:row>
    <x:row r="15">
      <x:c r="A15" s="362"/>
      <x:c r="B15" s="455"/>
      <x:c r="C15" s="363"/>
      <x:c r="D15" s="363"/>
      <x:c r="E15" s="363"/>
      <x:c r="F15" s="363"/>
      <x:c r="G15" s="363"/>
      <x:c r="H15" s="363"/>
      <x:c r="I15" s="3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4" customHeight="1">
      <x:c r="A1" s="380" t="str">
        <x:v>Стоимость_запуска - доведение до production</x:v>
      </x:c>
      <x:c r="B1" s="381"/>
      <x:c r="C1" s="381"/>
      <x:c r="D1" s="381"/>
      <x:c r="E1" s="381"/>
      <x:c r="F1" s="381"/>
      <x:c r="G1" s="381"/>
      <x:c r="H1" s="382"/>
    </x:row>
    <x:row r="2">
      <x:c r="A2" s="384"/>
      <x:c r="B2" s="388"/>
      <x:c r="C2" s="388"/>
      <x:c r="D2" s="388"/>
      <x:c r="E2" s="388"/>
      <x:c r="F2" s="388"/>
      <x:c r="G2" s="388"/>
      <x:c r="H2" s="389"/>
    </x:row>
    <x:row r="3">
      <x:c r="A3" s="353"/>
      <x:c r="B3" s="351"/>
      <x:c r="C3" s="351"/>
      <x:c r="D3" s="351"/>
      <x:c r="E3" s="351"/>
      <x:c r="F3" s="351"/>
      <x:c r="G3" s="351"/>
      <x:c r="H3" s="352"/>
    </x:row>
    <x:row r="4">
      <x:c r="A4" s="402" t="str">
        <x:v>Роль / статья затрат</x:v>
      </x:c>
      <x:c r="B4" s="403" t="str">
        <x:v>FTE</x:v>
      </x:c>
      <x:c r="C4" s="403" t="str">
        <x:v>Net-зарплата / месяц</x:v>
      </x:c>
      <x:c r="D4" s="403" t="str">
        <x:v>Месяцев</x:v>
      </x:c>
      <x:c r="E4" s="403" t="str">
        <x:v>Консервативный</x:v>
      </x:c>
      <x:c r="F4" s="403" t="str">
        <x:v>Базовый</x:v>
      </x:c>
      <x:c r="G4" s="403" t="str">
        <x:v>Оптимистичный</x:v>
      </x:c>
      <x:c r="H4" s="404" t="str">
        <x:v>Комментарий</x:v>
      </x:c>
    </x:row>
    <x:row r="5">
      <x:c r="A5" s="353" t="str">
        <x:v>Product owner</x:v>
      </x:c>
      <x:c r="B5" s="481" t="n">
        <x:v>1</x:v>
      </x:c>
      <x:c r="C5" s="432" t="n">
        <x:v>300000</x:v>
      </x:c>
      <x:c r="D5" s="481" t="n">
        <x:v>8</x:v>
      </x:c>
      <x:c r="E5" s="358" t="n">
        <x:f>B5*C5*D5*'Inputs'!C17</x:f>
        <x:v>4320000</x:v>
      </x:c>
      <x:c r="F5" s="358" t="n">
        <x:f>B5*C5*D5*'Inputs'!D17</x:f>
        <x:v>4080000</x:v>
      </x:c>
      <x:c r="G5" s="358" t="n">
        <x:f>B5*C5*D5*'Inputs'!E17</x:f>
        <x:v>3840000</x:v>
      </x:c>
      <x:c r="H5" s="352" t="str">
        <x:v>Управление продуктом, scope, стейкхолдеры банка</x:v>
      </x:c>
    </x:row>
    <x:row r="6">
      <x:c r="A6" s="353" t="str">
        <x:v>Бизнес-аналитик / SME</x:v>
      </x:c>
      <x:c r="B6" s="481" t="n">
        <x:v>1</x:v>
      </x:c>
      <x:c r="C6" s="432" t="n">
        <x:v>260000</x:v>
      </x:c>
      <x:c r="D6" s="481" t="n">
        <x:v>8</x:v>
      </x:c>
      <x:c r="E6" s="358" t="n">
        <x:f>B6*C6*D6*'Inputs'!C17</x:f>
        <x:v>3744000</x:v>
      </x:c>
      <x:c r="F6" s="358" t="n">
        <x:f>B6*C6*D6*'Inputs'!D17</x:f>
        <x:v>3536000</x:v>
      </x:c>
      <x:c r="G6" s="358" t="n">
        <x:f>B6*C6*D6*'Inputs'!E17</x:f>
        <x:v>3328000</x:v>
      </x:c>
      <x:c r="H6" s="352" t="str">
        <x:v>Экономика SMB, требования, приёмка</x:v>
      </x:c>
    </x:row>
    <x:row r="7">
      <x:c r="A7" s="353" t="str">
        <x:v>Solution architect</x:v>
      </x:c>
      <x:c r="B7" s="481" t="n">
        <x:v>0.6</x:v>
      </x:c>
      <x:c r="C7" s="432" t="n">
        <x:v>450000</x:v>
      </x:c>
      <x:c r="D7" s="481" t="n">
        <x:v>8</x:v>
      </x:c>
      <x:c r="E7" s="358" t="n">
        <x:f>B7*C7*D7*'Inputs'!C17</x:f>
        <x:v>3888000</x:v>
      </x:c>
      <x:c r="F7" s="358" t="n">
        <x:f>B7*C7*D7*'Inputs'!D17</x:f>
        <x:v>3672000</x:v>
      </x:c>
      <x:c r="G7" s="358" t="n">
        <x:f>B7*C7*D7*'Inputs'!E17</x:f>
        <x:v>3456000</x:v>
      </x:c>
      <x:c r="H7" s="352" t="str">
        <x:v>Архитектура банка и интеграции</x:v>
      </x:c>
    </x:row>
    <x:row r="8">
      <x:c r="A8" s="353" t="str">
        <x:v>Backend Go-инженеры</x:v>
      </x:c>
      <x:c r="B8" s="481" t="n">
        <x:v>3</x:v>
      </x:c>
      <x:c r="C8" s="432" t="n">
        <x:v>320000</x:v>
      </x:c>
      <x:c r="D8" s="481" t="n">
        <x:v>8</x:v>
      </x:c>
      <x:c r="E8" s="358" t="n">
        <x:f>B8*C8*D8*'Inputs'!C17</x:f>
        <x:v>13824000</x:v>
      </x:c>
      <x:c r="F8" s="358" t="n">
        <x:f>B8*C8*D8*'Inputs'!D17</x:f>
        <x:v>13056000</x:v>
      </x:c>
      <x:c r="G8" s="358" t="n">
        <x:f>B8*C8*D8*'Inputs'!E17</x:f>
        <x:v>12288000</x:v>
      </x:c>
      <x:c r="H8" s="352" t="str">
        <x:v>API, авторизация, планировщик, БД, интеграционный слой</x:v>
      </x:c>
    </x:row>
    <x:row r="9">
      <x:c r="A9" s="353" t="str">
        <x:v>Frontend React/PWA-инженеры</x:v>
      </x:c>
      <x:c r="B9" s="481" t="n">
        <x:v>2</x:v>
      </x:c>
      <x:c r="C9" s="432" t="n">
        <x:v>280000</x:v>
      </x:c>
      <x:c r="D9" s="481" t="n">
        <x:v>8</x:v>
      </x:c>
      <x:c r="E9" s="358" t="n">
        <x:f>B9*C9*D9*'Inputs'!C17</x:f>
        <x:v>8064000</x:v>
      </x:c>
      <x:c r="F9" s="358" t="n">
        <x:f>B9*C9*D9*'Inputs'!D17</x:f>
        <x:v>7616000</x:v>
      </x:c>
      <x:c r="G9" s="358" t="n">
        <x:f>B9*C9*D9*'Inputs'!E17</x:f>
        <x:v>7168000</x:v>
      </x:c>
      <x:c r="H9" s="352" t="str">
        <x:v>Мобильный дашборд, аналитика, советы, админка</x:v>
      </x:c>
    </x:row>
    <x:row r="10">
      <x:c r="A10" s="353" t="str">
        <x:v>Data scientist / ML-инженер</x:v>
      </x:c>
      <x:c r="B10" s="481" t="n">
        <x:v>1.5</x:v>
      </x:c>
      <x:c r="C10" s="432" t="n">
        <x:v>330000</x:v>
      </x:c>
      <x:c r="D10" s="481" t="n">
        <x:v>8</x:v>
      </x:c>
      <x:c r="E10" s="358" t="n">
        <x:f>B10*C10*D10*'Inputs'!C17</x:f>
        <x:v>7128000</x:v>
      </x:c>
      <x:c r="F10" s="358" t="n">
        <x:f>B10*C10*D10*'Inputs'!D17</x:f>
        <x:v>6732000</x:v>
      </x:c>
      <x:c r="G10" s="358" t="n">
        <x:f>B10*C10*D10*'Inputs'!E17</x:f>
        <x:v>6336000</x:v>
      </x:c>
      <x:c r="H10" s="352" t="str">
        <x:v>Прогнозирование, мониторинг, валидация модели</x:v>
      </x:c>
    </x:row>
    <x:row r="11">
      <x:c r="A11" s="353" t="str">
        <x:v>Data engineer</x:v>
      </x:c>
      <x:c r="B11" s="481" t="n">
        <x:v>1.5</x:v>
      </x:c>
      <x:c r="C11" s="432" t="n">
        <x:v>320000</x:v>
      </x:c>
      <x:c r="D11" s="481" t="n">
        <x:v>8</x:v>
      </x:c>
      <x:c r="E11" s="358" t="n">
        <x:f>B11*C11*D11*'Inputs'!C17</x:f>
        <x:v>6912000</x:v>
      </x:c>
      <x:c r="F11" s="358" t="n">
        <x:f>B11*C11*D11*'Inputs'!D17</x:f>
        <x:v>6528000</x:v>
      </x:c>
      <x:c r="G11" s="358" t="n">
        <x:f>B11*C11*D11*'Inputs'!E17</x:f>
        <x:v>6144000</x:v>
      </x:c>
      <x:c r="H11" s="352" t="str">
        <x:v>Банковские потоки данных, нормализация транзакций</x:v>
      </x:c>
    </x:row>
    <x:row r="12">
      <x:c r="A12" s="353" t="str">
        <x:v>QA automation</x:v>
      </x:c>
      <x:c r="B12" s="481" t="n">
        <x:v>1.5</x:v>
      </x:c>
      <x:c r="C12" s="432" t="n">
        <x:v>230000</x:v>
      </x:c>
      <x:c r="D12" s="481" t="n">
        <x:v>8</x:v>
      </x:c>
      <x:c r="E12" s="358" t="n">
        <x:f>B12*C12*D12*'Inputs'!C17</x:f>
        <x:v>4968000</x:v>
      </x:c>
      <x:c r="F12" s="358" t="n">
        <x:f>B12*C12*D12*'Inputs'!D17</x:f>
        <x:v>4692000</x:v>
      </x:c>
      <x:c r="G12" s="358" t="n">
        <x:f>B12*C12*D12*'Inputs'!E17</x:f>
        <x:v>4416000</x:v>
      </x:c>
      <x:c r="H12" s="352" t="str">
        <x:v>Unit/API/e2e/regression тесты</x:v>
      </x:c>
    </x:row>
    <x:row r="13">
      <x:c r="A13" s="353" t="str">
        <x:v>DevOps / SRE</x:v>
      </x:c>
      <x:c r="B13" s="481" t="n">
        <x:v>1</x:v>
      </x:c>
      <x:c r="C13" s="432" t="n">
        <x:v>330000</x:v>
      </x:c>
      <x:c r="D13" s="481" t="n">
        <x:v>8</x:v>
      </x:c>
      <x:c r="E13" s="358" t="n">
        <x:f>B13*C13*D13*'Inputs'!C17</x:f>
        <x:v>4752000</x:v>
      </x:c>
      <x:c r="F13" s="358" t="n">
        <x:f>B13*C13*D13*'Inputs'!D17</x:f>
        <x:v>4488000</x:v>
      </x:c>
      <x:c r="G13" s="358" t="n">
        <x:f>B13*C13*D13*'Inputs'!E17</x:f>
        <x:v>4224000</x:v>
      </x:c>
      <x:c r="H13" s="352" t="str">
        <x:v>CI/CD, окружения, наблюдаемость</x:v>
      </x:c>
    </x:row>
    <x:row r="14">
      <x:c r="A14" s="353" t="str">
        <x:v>Инженер ИБ / комплаенс</x:v>
      </x:c>
      <x:c r="B14" s="481" t="n">
        <x:v>0.8</x:v>
      </x:c>
      <x:c r="C14" s="432" t="n">
        <x:v>350000</x:v>
      </x:c>
      <x:c r="D14" s="481" t="n">
        <x:v>8</x:v>
      </x:c>
      <x:c r="E14" s="358" t="n">
        <x:f>B14*C14*D14*'Inputs'!C17</x:f>
        <x:v>4032000</x:v>
      </x:c>
      <x:c r="F14" s="358" t="n">
        <x:f>B14*C14*D14*'Inputs'!D17</x:f>
        <x:v>3808000</x:v>
      </x:c>
      <x:c r="G14" s="358" t="n">
        <x:f>B14*C14*D14*'Inputs'!E17</x:f>
        <x:v>3584000</x:v>
      </x:c>
      <x:c r="H14" s="352" t="str">
        <x:v>Threat model, privacy, security review</x:v>
      </x:c>
    </x:row>
    <x:row r="15">
      <x:c r="A15" s="353" t="str">
        <x:v>UX/UI-дизайнер</x:v>
      </x:c>
      <x:c r="B15" s="481" t="n">
        <x:v>0.8</x:v>
      </x:c>
      <x:c r="C15" s="432" t="n">
        <x:v>250000</x:v>
      </x:c>
      <x:c r="D15" s="481" t="n">
        <x:v>5</x:v>
      </x:c>
      <x:c r="E15" s="358" t="n">
        <x:f>B15*C15*D15*'Inputs'!C17</x:f>
        <x:v>1800000</x:v>
      </x:c>
      <x:c r="F15" s="358" t="n">
        <x:f>B15*C15*D15*'Inputs'!D17</x:f>
        <x:v>1700000</x:v>
      </x:c>
      <x:c r="G15" s="358" t="n">
        <x:f>B15*C15*D15*'Inputs'!E17</x:f>
        <x:v>1600000</x:v>
      </x:c>
      <x:c r="H15" s="352" t="str">
        <x:v>Мобильный банковский UX</x:v>
      </x:c>
    </x:row>
    <x:row r="16">
      <x:c r="A16" s="490" t="str">
        <x:v>Итого команда</x:v>
      </x:c>
      <x:c r="B16" s="491" t="str"/>
      <x:c r="C16" s="491" t="str"/>
      <x:c r="D16" s="491" t="str"/>
      <x:c r="E16" s="492" t="n">
        <x:f>SUM(E5:E15)</x:f>
        <x:v>63432000</x:v>
      </x:c>
      <x:c r="F16" s="492" t="n">
        <x:f>SUM(F5:F15)</x:f>
        <x:v>59908000</x:v>
      </x:c>
      <x:c r="G16" s="492" t="n">
        <x:f>SUM(G5:G15)</x:f>
        <x:v>56384000</x:v>
      </x:c>
      <x:c r="H16" s="493" t="str">
        <x:v>Сумма по формуле</x:v>
      </x:c>
    </x:row>
    <x:row r="17">
      <x:c r="A17" s="353" t="str">
        <x:v>Резерв на интеграции и ИБ</x:v>
      </x:c>
      <x:c r="B17" s="351" t="str"/>
      <x:c r="C17" s="351" t="str"/>
      <x:c r="D17" s="351" t="str"/>
      <x:c r="E17" s="358" t="n">
        <x:f>E16*'Inputs'!C18</x:f>
        <x:v>19029600</x:v>
      </x:c>
      <x:c r="F17" s="358" t="n">
        <x:f>F16*'Inputs'!D18</x:f>
        <x:v>14977000</x:v>
      </x:c>
      <x:c r="G17" s="358" t="n">
        <x:f>G16*'Inputs'!E18</x:f>
        <x:v>11276800</x:v>
      </x:c>
      <x:c r="H17" s="352" t="str">
        <x:v>% от затрат команды по сценарию</x:v>
      </x:c>
    </x:row>
    <x:row r="18">
      <x:c r="A18" s="353" t="str">
        <x:v>Внешний аудит, pentest, legal review</x:v>
      </x:c>
      <x:c r="B18" s="351" t="str"/>
      <x:c r="C18" s="351" t="str"/>
      <x:c r="D18" s="351" t="str"/>
      <x:c r="E18" s="358" t="n">
        <x:v>6000000</x:v>
      </x:c>
      <x:c r="F18" s="358" t="n">
        <x:v>4500000</x:v>
      </x:c>
      <x:c r="G18" s="358" t="n">
        <x:v>3500000</x:v>
      </x:c>
      <x:c r="H18" s="352" t="str">
        <x:v>Вводное значение по сценарию</x:v>
      </x:c>
    </x:row>
    <x:row r="19">
      <x:c r="A19" s="353" t="str">
        <x:v>Запуск пилота, обучение, коммуникации</x:v>
      </x:c>
      <x:c r="B19" s="351" t="str"/>
      <x:c r="C19" s="351" t="str"/>
      <x:c r="D19" s="351" t="str"/>
      <x:c r="E19" s="432" t="n">
        <x:v>4000000</x:v>
      </x:c>
      <x:c r="F19" s="432" t="n">
        <x:v>3500000</x:v>
      </x:c>
      <x:c r="G19" s="432" t="n">
        <x:v>3000000</x:v>
      </x:c>
      <x:c r="H19" s="352" t="str">
        <x:v>Вводное значение по сценарию</x:v>
      </x:c>
    </x:row>
    <x:row r="20">
      <x:c r="A20" s="353" t="str">
        <x:v>Резерв production readiness</x:v>
      </x:c>
      <x:c r="B20" s="351" t="str"/>
      <x:c r="C20" s="351" t="str"/>
      <x:c r="D20" s="351" t="str"/>
      <x:c r="E20" s="432" t="n">
        <x:v>5000000</x:v>
      </x:c>
      <x:c r="F20" s="432" t="n">
        <x:v>4000000</x:v>
      </x:c>
      <x:c r="G20" s="432" t="n">
        <x:v>3000000</x:v>
      </x:c>
      <x:c r="H20" s="352" t="str">
        <x:v>Вводное значение по сценарию</x:v>
      </x:c>
    </x:row>
    <x:row r="21">
      <x:c r="A21" s="494" t="str">
        <x:v>Итого стоимость запуска</x:v>
      </x:c>
      <x:c r="B21" s="495" t="str"/>
      <x:c r="C21" s="495" t="str"/>
      <x:c r="D21" s="495" t="str"/>
      <x:c r="E21" s="496" t="n">
        <x:f>SUM(E16:E20)</x:f>
        <x:v>97461600</x:v>
      </x:c>
      <x:c r="F21" s="496" t="n">
        <x:f>SUM(F16:F20)</x:f>
        <x:v>86885000</x:v>
      </x:c>
      <x:c r="G21" s="496" t="n">
        <x:f>SUM(G16:G20)</x:f>
        <x:v>77160800</x:v>
      </x:c>
      <x:c r="H21" s="497" t="str">
        <x:v>Команда + резерв + запуск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34" customHeight="1">
      <x:c r="A1" s="380" t="str">
        <x:v>Поддержка - ежегодные операционные расходы</x:v>
      </x:c>
      <x:c r="B1" s="381"/>
      <x:c r="C1" s="381"/>
      <x:c r="D1" s="381"/>
      <x:c r="E1" s="381"/>
      <x:c r="F1" s="381"/>
      <x:c r="G1" s="382"/>
      <x:c r="H1" s="383"/>
    </x:row>
    <x:row r="2">
      <x:c r="A2" s="384"/>
      <x:c r="B2" s="388"/>
      <x:c r="C2" s="388"/>
      <x:c r="D2" s="388"/>
      <x:c r="E2" s="388"/>
      <x:c r="F2" s="388"/>
      <x:c r="G2" s="389"/>
      <x:c r="H2" s="390"/>
    </x:row>
    <x:row r="3">
      <x:c r="A3" s="353"/>
      <x:c r="B3" s="351"/>
      <x:c r="C3" s="351"/>
      <x:c r="D3" s="351"/>
      <x:c r="E3" s="351"/>
      <x:c r="F3" s="351"/>
      <x:c r="G3" s="352"/>
    </x:row>
    <x:row r="4">
      <x:c r="A4" s="402" t="str">
        <x:v>Статья затрат</x:v>
      </x:c>
      <x:c r="B4" s="403" t="str">
        <x:v>FTE</x:v>
      </x:c>
      <x:c r="C4" s="403" t="str">
        <x:v>Net-зарплата / месяц</x:v>
      </x:c>
      <x:c r="D4" s="403" t="str">
        <x:v>Консервативный</x:v>
      </x:c>
      <x:c r="E4" s="403" t="str">
        <x:v>Базовый</x:v>
      </x:c>
      <x:c r="F4" s="403" t="str">
        <x:v>Оптимистичный</x:v>
      </x:c>
      <x:c r="G4" s="404" t="str">
        <x:v>Комментарий</x:v>
      </x:c>
      <x:c r="H4" s="407"/>
    </x:row>
    <x:row r="5">
      <x:c r="A5" s="353" t="str">
        <x:v>Владелец продукта / поддержки</x:v>
      </x:c>
      <x:c r="B5" s="429" t="n">
        <x:v>1</x:v>
      </x:c>
      <x:c r="C5" s="432" t="n">
        <x:v>280000</x:v>
      </x:c>
      <x:c r="D5" s="358" t="n">
        <x:f>B5*C5*12*'Inputs'!C17</x:f>
        <x:v>6048000</x:v>
      </x:c>
      <x:c r="E5" s="358" t="n">
        <x:f>B5*C5*12*'Inputs'!D17</x:f>
        <x:v>5712000</x:v>
      </x:c>
      <x:c r="F5" s="358" t="n">
        <x:f>B5*C5*12*'Inputs'!E17</x:f>
        <x:v>5376000</x:v>
      </x:c>
      <x:c r="G5" s="352" t="str">
        <x:v>Roadmap, инциденты, отчётность стейкхолдерам</x:v>
      </x:c>
    </x:row>
    <x:row r="6">
      <x:c r="A6" s="353" t="str">
        <x:v>Backend/SRE поддержка</x:v>
      </x:c>
      <x:c r="B6" s="429" t="n">
        <x:v>1.5</x:v>
      </x:c>
      <x:c r="C6" s="432" t="n">
        <x:v>330000</x:v>
      </x:c>
      <x:c r="D6" s="358" t="n">
        <x:f>B6*C6*12*'Inputs'!C17</x:f>
        <x:v>10692000</x:v>
      </x:c>
      <x:c r="E6" s="358" t="n">
        <x:f>B6*C6*12*'Inputs'!D17</x:f>
        <x:v>10098000</x:v>
      </x:c>
      <x:c r="F6" s="358" t="n">
        <x:f>B6*C6*12*'Inputs'!E17</x:f>
        <x:v>9504000</x:v>
      </x:c>
      <x:c r="G6" s="352" t="str">
        <x:v>Production operations и изменения API</x:v>
      </x:c>
    </x:row>
    <x:row r="7">
      <x:c r="A7" s="353" t="str">
        <x:v>Data/ML поддержка</x:v>
      </x:c>
      <x:c r="B7" s="429" t="n">
        <x:v>1</x:v>
      </x:c>
      <x:c r="C7" s="432" t="n">
        <x:v>340000</x:v>
      </x:c>
      <x:c r="D7" s="358" t="n">
        <x:f>B7*C7*12*'Inputs'!C17</x:f>
        <x:v>7344000</x:v>
      </x:c>
      <x:c r="E7" s="358" t="n">
        <x:f>B7*C7*12*'Inputs'!D17</x:f>
        <x:v>6936000</x:v>
      </x:c>
      <x:c r="F7" s="358" t="n">
        <x:f>B7*C7*12*'Inputs'!E17</x:f>
        <x:v>6528000</x:v>
      </x:c>
      <x:c r="G7" s="352" t="str">
        <x:v>Мониторинг и перекалибровка модели</x:v>
      </x:c>
    </x:row>
    <x:row r="8">
      <x:c r="A8" s="353" t="str">
        <x:v>QA/regression</x:v>
      </x:c>
      <x:c r="B8" s="429" t="n">
        <x:v>0.8</x:v>
      </x:c>
      <x:c r="C8" s="432" t="n">
        <x:v>230000</x:v>
      </x:c>
      <x:c r="D8" s="358" t="n">
        <x:f>B8*C8*12*'Inputs'!C17</x:f>
        <x:v>3974400</x:v>
      </x:c>
      <x:c r="E8" s="358" t="n">
        <x:f>B8*C8*12*'Inputs'!D17</x:f>
        <x:v>3753600</x:v>
      </x:c>
      <x:c r="F8" s="358" t="n">
        <x:f>B8*C8*12*'Inputs'!E17</x:f>
        <x:v>3532800</x:v>
      </x:c>
      <x:c r="G8" s="352" t="str">
        <x:v>Тестирование релизов</x:v>
      </x:c>
    </x:row>
    <x:row r="9">
      <x:c r="A9" s="353" t="str">
        <x:v>ИБ / комплаенс поддержка</x:v>
      </x:c>
      <x:c r="B9" s="429" t="n">
        <x:v>0.6</x:v>
      </x:c>
      <x:c r="C9" s="432" t="n">
        <x:v>350000</x:v>
      </x:c>
      <x:c r="D9" s="358" t="n">
        <x:f>B9*C9*12*'Inputs'!C17</x:f>
        <x:v>4536000</x:v>
      </x:c>
      <x:c r="E9" s="358" t="n">
        <x:f>B9*C9*12*'Inputs'!D17</x:f>
        <x:v>4284000</x:v>
      </x:c>
      <x:c r="F9" s="358" t="n">
        <x:f>B9*C9*12*'Inputs'!E17</x:f>
        <x:v>4032000</x:v>
      </x:c>
      <x:c r="G9" s="352" t="str">
        <x:v>Регулярные проверки и изменения политик</x:v>
      </x:c>
    </x:row>
    <x:row r="10">
      <x:c r="A10" s="353" t="str">
        <x:v>Клиентские / бизнес-операции</x:v>
      </x:c>
      <x:c r="B10" s="429" t="n">
        <x:v>1</x:v>
      </x:c>
      <x:c r="C10" s="432" t="n">
        <x:v>180000</x:v>
      </x:c>
      <x:c r="D10" s="358" t="n">
        <x:f>B10*C10*12*'Inputs'!C17</x:f>
        <x:v>3888000</x:v>
      </x:c>
      <x:c r="E10" s="358" t="n">
        <x:f>B10*C10*12*'Inputs'!D17</x:f>
        <x:v>3672000</x:v>
      </x:c>
      <x:c r="F10" s="358" t="n">
        <x:f>B10*C10*12*'Inputs'!E17</x:f>
        <x:v>3456000</x:v>
      </x:c>
      <x:c r="G10" s="352" t="str">
        <x:v>Поддержка пилота и разбор обращений</x:v>
      </x:c>
    </x:row>
    <x:row r="11">
      <x:c r="A11" s="490" t="str">
        <x:v>Итого команда поддержки</x:v>
      </x:c>
      <x:c r="B11" s="491" t="str"/>
      <x:c r="C11" s="491" t="str"/>
      <x:c r="D11" s="492" t="n">
        <x:f>SUM(D5:D10)</x:f>
        <x:v>36482400</x:v>
      </x:c>
      <x:c r="E11" s="492" t="n">
        <x:f>SUM(E5:E10)</x:f>
        <x:v>34455600</x:v>
      </x:c>
      <x:c r="F11" s="492" t="n">
        <x:f>SUM(F5:F10)</x:f>
        <x:v>32428800</x:v>
      </x:c>
      <x:c r="G11" s="493" t="str">
        <x:v>Сумма по формуле</x:v>
      </x:c>
      <x:c r="H11" s="501"/>
    </x:row>
    <x:row r="12">
      <x:c r="A12" s="353" t="str">
        <x:v>Production-инфраструктура</x:v>
      </x:c>
      <x:c r="B12" s="351" t="str"/>
      <x:c r="C12" s="351" t="str"/>
      <x:c r="D12" s="358" t="n">
        <x:f>'Inputs'!C33*12</x:f>
        <x:v>5400000</x:v>
      </x:c>
      <x:c r="E12" s="358" t="n">
        <x:f>'Inputs'!D33*12</x:f>
        <x:v>7800000</x:v>
      </x:c>
      <x:c r="F12" s="358" t="n">
        <x:f>'Inputs'!E33*12</x:f>
        <x:v>11400000</x:v>
      </x:c>
      <x:c r="G12" s="352" t="str">
        <x:v>Месячная база из Inputs × 12</x:v>
      </x:c>
    </x:row>
    <x:row r="13">
      <x:c r="A13" s="353" t="str">
        <x:v>Мониторинг, логи, backup, DR</x:v>
      </x:c>
      <x:c r="B13" s="351" t="str"/>
      <x:c r="C13" s="351" t="str"/>
      <x:c r="D13" s="432" t="n">
        <x:v>4500000</x:v>
      </x:c>
      <x:c r="E13" s="432" t="n">
        <x:v>3500000</x:v>
      </x:c>
      <x:c r="F13" s="432" t="n">
        <x:v>2500000</x:v>
      </x:c>
      <x:c r="G13" s="352" t="str">
        <x:v>Вводное значение по сценарию</x:v>
      </x:c>
    </x:row>
    <x:row r="14">
      <x:c r="A14" s="353" t="str">
        <x:v>Переобучение и валидация ML</x:v>
      </x:c>
      <x:c r="B14" s="351" t="str"/>
      <x:c r="C14" s="351" t="str"/>
      <x:c r="D14" s="432" t="n">
        <x:v>3500000</x:v>
      </x:c>
      <x:c r="E14" s="432" t="n">
        <x:v>2500000</x:v>
      </x:c>
      <x:c r="F14" s="432" t="n">
        <x:v>1800000</x:v>
      </x:c>
      <x:c r="G14" s="352" t="str">
        <x:v>Вводное значение по сценарию</x:v>
      </x:c>
    </x:row>
    <x:row r="15">
      <x:c r="A15" s="353" t="str">
        <x:v>Опциональные LLM-рекомендации</x:v>
      </x:c>
      <x:c r="B15" s="351" t="str"/>
      <x:c r="C15" s="351" t="str"/>
      <x:c r="D15" s="358" t="n">
        <x:f>'Inputs'!C34*12*'Inputs'!C20</x:f>
        <x:v>0</x:v>
      </x:c>
      <x:c r="E15" s="358" t="n">
        <x:f>'Inputs'!D34*12*'Inputs'!D20</x:f>
        <x:v>1800000</x:v>
      </x:c>
      <x:c r="F15" s="358" t="n">
        <x:f>'Inputs'!E34*12*'Inputs'!E20</x:f>
        <x:v>3600000</x:v>
      </x:c>
      <x:c r="G15" s="352" t="str">
        <x:v>Месячная стоимость LLM × 12 × включено</x:v>
      </x:c>
    </x:row>
    <x:row r="16">
      <x:c r="A16" s="353" t="str">
        <x:v>Ежегодный аудит ИБ / pentest</x:v>
      </x:c>
      <x:c r="B16" s="351" t="str"/>
      <x:c r="C16" s="351" t="str"/>
      <x:c r="D16" s="358" t="n">
        <x:f>'Inputs'!C35</x:f>
        <x:v>3500000</x:v>
      </x:c>
      <x:c r="E16" s="358" t="n">
        <x:f>'Inputs'!D35</x:f>
        <x:v>4500000</x:v>
      </x:c>
      <x:c r="F16" s="358" t="n">
        <x:f>'Inputs'!E35</x:f>
        <x:v>6000000</x:v>
      </x:c>
      <x:c r="G16" s="352" t="str">
        <x:v>Ежегодный аудит из Inputs</x:v>
      </x:c>
    </x:row>
    <x:row r="17">
      <x:c r="A17" s="494" t="str">
        <x:v>Итого годовой OPEX</x:v>
      </x:c>
      <x:c r="B17" s="495" t="str"/>
      <x:c r="C17" s="495" t="str"/>
      <x:c r="D17" s="496" t="n">
        <x:f>SUM(D11:D16)</x:f>
        <x:v>53382400</x:v>
      </x:c>
      <x:c r="E17" s="496" t="n">
        <x:f>SUM(E11:E16)</x:f>
        <x:v>54555600</x:v>
      </x:c>
      <x:c r="F17" s="496" t="n">
        <x:f>SUM(F11:F16)</x:f>
        <x:v>57728800</x:v>
      </x:c>
      <x:c r="G17" s="497" t="str">
        <x:v>Ежегодная стоимость поддержки</x:v>
      </x:c>
      <x:c r="H17" s="501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46" hidden="0" customWidth="1"/>
  </x:cols>
  <x:sheetData>
    <x:row r="1" ht="34" customHeight="1">
      <x:c r="A1" s="380" t="str">
        <x:v>Выгоды - ежегодный денежный эффект для Альфа-Банка</x:v>
      </x:c>
      <x:c r="B1" s="381"/>
      <x:c r="C1" s="381"/>
      <x:c r="D1" s="381"/>
      <x:c r="E1" s="382"/>
      <x:c r="F1" s="383"/>
      <x:c r="G1" s="383"/>
      <x:c r="H1" s="383"/>
    </x:row>
    <x:row r="2">
      <x:c r="A2" s="384"/>
      <x:c r="B2" s="388"/>
      <x:c r="C2" s="388"/>
      <x:c r="D2" s="388"/>
      <x:c r="E2" s="389"/>
      <x:c r="F2" s="390"/>
      <x:c r="G2" s="390"/>
      <x:c r="H2" s="390"/>
    </x:row>
    <x:row r="3">
      <x:c r="A3" s="353"/>
      <x:c r="B3" s="351"/>
      <x:c r="C3" s="351"/>
      <x:c r="D3" s="351"/>
      <x:c r="E3" s="352"/>
    </x:row>
    <x:row r="4">
      <x:c r="A4" s="402" t="str">
        <x:v>Показатель</x:v>
      </x:c>
      <x:c r="B4" s="403" t="str">
        <x:v>Консервативный</x:v>
      </x:c>
      <x:c r="C4" s="403" t="str">
        <x:v>Базовый</x:v>
      </x:c>
      <x:c r="D4" s="403" t="str">
        <x:v>Оптимистичный</x:v>
      </x:c>
      <x:c r="E4" s="404" t="str">
        <x:v>Формула / смысл</x:v>
      </x:c>
      <x:c r="F4" s="407"/>
      <x:c r="G4" s="407"/>
      <x:c r="H4" s="407"/>
    </x:row>
    <x:row r="5">
      <x:c r="A5" s="353" t="str">
        <x:v>Клиенты в пилоте</x:v>
      </x:c>
      <x:c r="B5" s="360" t="n">
        <x:f>'Inputs'!C12</x:f>
        <x:v>340000</x:v>
      </x:c>
      <x:c r="C5" s="360" t="n">
        <x:f>'Inputs'!D12</x:f>
        <x:v>250000</x:v>
      </x:c>
      <x:c r="D5" s="360" t="n">
        <x:f>'Inputs'!E12</x:f>
        <x:v>300000</x:v>
      </x:c>
      <x:c r="E5" s="352" t="str">
        <x:v>Берётся из Inputs</x:v>
      </x:c>
    </x:row>
    <x:row r="6">
      <x:c r="A6" s="353" t="str">
        <x:v>Активные клиенты</x:v>
      </x:c>
      <x:c r="B6" s="360" t="n">
        <x:f>ROUND(B5*'Inputs'!C13,0)</x:f>
        <x:v>129200</x:v>
      </x:c>
      <x:c r="C6" s="360" t="n">
        <x:f>ROUND(C5*'Inputs'!D13,0)</x:f>
        <x:v>112500</x:v>
      </x:c>
      <x:c r="D6" s="360" t="n">
        <x:f>ROUND(D5*'Inputs'!E13,0)</x:f>
        <x:v>156000</x:v>
      </x:c>
      <x:c r="E6" s="352" t="str">
        <x:v>Клиенты в пилоте × доля активных пользователей</x:v>
      </x:c>
    </x:row>
    <x:row r="7">
      <x:c r="A7" s="353" t="str">
        <x:v>Удержанные клиенты за счёт снижения оттока</x:v>
      </x:c>
      <x:c r="B7" s="360" t="n">
        <x:f>ROUND(B6*'Inputs'!C23,0)</x:f>
        <x:v>1550</x:v>
      </x:c>
      <x:c r="C7" s="360" t="n">
        <x:f>ROUND(C6*'Inputs'!D23,0)</x:f>
        <x:v>1688</x:v>
      </x:c>
      <x:c r="D7" s="360" t="n">
        <x:f>ROUND(D6*'Inputs'!E23,0)</x:f>
        <x:v>3120</x:v>
      </x:c>
      <x:c r="E7" s="352" t="str">
        <x:v>Активные клиенты × снижение оттока</x:v>
      </x:c>
    </x:row>
    <x:row r="8">
      <x:c r="A8" s="353" t="str">
        <x:v>Валовая прибыль от удержания</x:v>
      </x:c>
      <x:c r="B8" s="358" t="n">
        <x:f>ROUND(B7*'Inputs'!C21,0)</x:f>
        <x:v>38750000</x:v>
      </x:c>
      <x:c r="C8" s="358" t="n">
        <x:f>ROUND(C7*'Inputs'!D21,0)</x:f>
        <x:v>50640000</x:v>
      </x:c>
      <x:c r="D8" s="358" t="n">
        <x:f>ROUND(D7*'Inputs'!E21,0)</x:f>
        <x:v>106080000</x:v>
      </x:c>
      <x:c r="E8" s="352" t="str">
        <x:v>Удержанные клиенты × годовая валовая прибыль на SMB-клиента</x:v>
      </x:c>
    </x:row>
    <x:row r="9">
      <x:c r="A9" s="353" t="str">
        <x:v>Активные клиенты с эквайрингом</x:v>
      </x:c>
      <x:c r="B9" s="360" t="n">
        <x:f>ROUND(B6*'Inputs'!C24,0)</x:f>
        <x:v>54264</x:v>
      </x:c>
      <x:c r="C9" s="360" t="n">
        <x:f>ROUND(C6*'Inputs'!D24,0)</x:f>
        <x:v>50625</x:v>
      </x:c>
      <x:c r="D9" s="360" t="n">
        <x:f>ROUND(D6*'Inputs'!E24,0)</x:f>
        <x:v>74880</x:v>
      </x:c>
      <x:c r="E9" s="352" t="str">
        <x:v>Активные клиенты × доля с эквайрингом</x:v>
      </x:c>
    </x:row>
    <x:row r="10">
      <x:c r="A10" s="353" t="str">
        <x:v>Прирост валовой прибыли от эквайринга/РКО</x:v>
      </x:c>
      <x:c r="B10" s="358" t="n">
        <x:f>ROUND(B9*'Inputs'!C25*'Inputs'!C26*'Inputs'!C27*12,0)</x:f>
        <x:v>6446563</x:v>
      </x:c>
      <x:c r="C10" s="358" t="n">
        <x:f>ROUND(C9*'Inputs'!D25*'Inputs'!D26*'Inputs'!D27*12,0)</x:f>
        <x:v>11056500</x:v>
      </x:c>
      <x:c r="D10" s="358" t="n">
        <x:f>ROUND(D9*'Inputs'!E25*'Inputs'!E26*'Inputs'!E27*12,0)</x:f>
        <x:v>23290675</x:v>
      </x:c>
      <x:c r="E10" s="352" t="str">
        <x:v>Клиенты с эквайрингом × месячный оборот × чистая маржа × прирост × 12</x:v>
      </x:c>
    </x:row>
    <x:row r="11">
      <x:c r="A11" s="353" t="str">
        <x:v>Валовая прибыль от кросс-селла</x:v>
      </x:c>
      <x:c r="B11" s="358" t="n">
        <x:f>ROUND(B6*'Inputs'!C28*'Inputs'!C29,0)</x:f>
        <x:v>42636000</x:v>
      </x:c>
      <x:c r="C11" s="358" t="n">
        <x:f>ROUND(C6*'Inputs'!D28*'Inputs'!D29,0)</x:f>
        <x:v>50625000</x:v>
      </x:c>
      <x:c r="D11" s="358" t="n">
        <x:f>ROUND(D6*'Inputs'!E28*'Inputs'!E29,0)</x:f>
        <x:v>93600000</x:v>
      </x:c>
      <x:c r="E11" s="352" t="str">
        <x:v>Активные клиенты × конверсия × прибыль на продукт</x:v>
      </x:c>
    </x:row>
    <x:row r="12">
      <x:c r="A12" s="353" t="str">
        <x:v>Экономия на кредитном риске</x:v>
      </x:c>
      <x:c r="B12" s="358" t="n">
        <x:f>ROUND(B6*'Inputs'!C30*'Inputs'!C31*'Inputs'!C32,0)</x:f>
        <x:v>14069880</x:v>
      </x:c>
      <x:c r="C12" s="358" t="n">
        <x:f>ROUND(C6*'Inputs'!D30*'Inputs'!D31*'Inputs'!D32,0)</x:f>
        <x:v>16875000</x:v>
      </x:c>
      <x:c r="D12" s="358" t="n">
        <x:f>ROUND(D6*'Inputs'!E30*'Inputs'!E31*'Inputs'!E32,0)</x:f>
        <x:v>33462000</x:v>
      </x:c>
      <x:c r="E12" s="352" t="str">
        <x:v>Активные клиенты × доля с кредитом × экспозиция × снижение потерь</x:v>
      </x:c>
    </x:row>
    <x:row r="13">
      <x:c r="A13" s="490" t="str">
        <x:v>Итого годовая валовая выгода</x:v>
      </x:c>
      <x:c r="B13" s="492" t="n">
        <x:f>SUM(B8,B10:B12)</x:f>
        <x:v>101902443</x:v>
      </x:c>
      <x:c r="C13" s="492" t="n">
        <x:f>SUM(C8,C10:C12)</x:f>
        <x:v>129196500</x:v>
      </x:c>
      <x:c r="D13" s="492" t="n">
        <x:f>SUM(D8,D10:D12)</x:f>
        <x:v>256432675</x:v>
      </x:c>
      <x:c r="E13" s="493" t="str">
        <x:v>Сумма четырёх каналов выгоды</x:v>
      </x:c>
      <x:c r="F13" s="501"/>
      <x:c r="G13" s="501"/>
      <x:c r="H13" s="501"/>
    </x:row>
    <x:row r="14">
      <x:c r="A14" s="353" t="str">
        <x:v>Годовой OPEX</x:v>
      </x:c>
      <x:c r="B14" s="358" t="n">
        <x:f>'Run_Cost'!D17</x:f>
        <x:v>53382400</x:v>
      </x:c>
      <x:c r="C14" s="358" t="n">
        <x:f>'Run_Cost'!E17</x:f>
        <x:v>54555600</x:v>
      </x:c>
      <x:c r="D14" s="358" t="n">
        <x:f>'Run_Cost'!F17</x:f>
        <x:v>57728800</x:v>
      </x:c>
      <x:c r="E14" s="352" t="str">
        <x:v>Ссылка на лист Run_Cost</x:v>
      </x:c>
    </x:row>
    <x:row r="15">
      <x:c r="A15" s="482" t="str">
        <x:v>Годовая чистая выгода после OPEX</x:v>
      </x:c>
      <x:c r="B15" s="492" t="n">
        <x:f>B13-B14</x:f>
        <x:v>48520043</x:v>
      </x:c>
      <x:c r="C15" s="492" t="n">
        <x:f>C13-C14</x:f>
        <x:v>74640900</x:v>
      </x:c>
      <x:c r="D15" s="492" t="n">
        <x:f>D13-D14</x:f>
        <x:v>198703875</x:v>
      </x:c>
      <x:c r="E15" s="485" t="str">
        <x:v>Валовая выгода - годовой OPEX</x:v>
      </x:c>
    </x:row>
    <x:row r="16">
      <x:c r="A16" s="353" t="str">
        <x:v>Стоимость запуска</x:v>
      </x:c>
      <x:c r="B16" s="358" t="n">
        <x:f>'Build_Cost'!E21</x:f>
        <x:v>97461600</x:v>
      </x:c>
      <x:c r="C16" s="358" t="n">
        <x:f>'Build_Cost'!F21</x:f>
        <x:v>86885000</x:v>
      </x:c>
      <x:c r="D16" s="358" t="n">
        <x:f>'Build_Cost'!G21</x:f>
        <x:v>77160800</x:v>
      </x:c>
      <x:c r="E16" s="352" t="str">
        <x:v>Ссылка на лист Build_Cost</x:v>
      </x:c>
    </x:row>
    <x:row r="17">
      <x:c r="A17" s="353" t="str">
        <x:v>Валовая выгода за 3 года</x:v>
      </x:c>
      <x:c r="B17" s="358" t="n">
        <x:f>ROUND(B13*'Inputs'!C14,0)</x:f>
        <x:v>305707329</x:v>
      </x:c>
      <x:c r="C17" s="358" t="n">
        <x:f>ROUND(C13*'Inputs'!D14,0)</x:f>
        <x:v>387589500</x:v>
      </x:c>
      <x:c r="D17" s="358" t="n">
        <x:f>ROUND(D13*'Inputs'!E14,0)</x:f>
        <x:v>769298025</x:v>
      </x:c>
      <x:c r="E17" s="352" t="str">
        <x:v>Годовая валовая выгода × горизонт</x:v>
      </x:c>
    </x:row>
    <x:row r="18">
      <x:c r="A18" s="353" t="str">
        <x:v>OPEX за 3 года</x:v>
      </x:c>
      <x:c r="B18" s="358" t="n">
        <x:f>ROUND(B14*'Inputs'!C14,0)</x:f>
        <x:v>160147200</x:v>
      </x:c>
      <x:c r="C18" s="358" t="n">
        <x:f>ROUND(C14*'Inputs'!D14,0)</x:f>
        <x:v>163666800</x:v>
      </x:c>
      <x:c r="D18" s="358" t="n">
        <x:f>ROUND(D14*'Inputs'!E14,0)</x:f>
        <x:v>173186400</x:v>
      </x:c>
      <x:c r="E18" s="352" t="str">
        <x:v>Годовой OPEX × горизонт</x:v>
      </x:c>
    </x:row>
    <x:row r="19">
      <x:c r="A19" s="490" t="str">
        <x:v>Чистый эффект за 3 года после запуска</x:v>
      </x:c>
      <x:c r="B19" s="492" t="n">
        <x:f>B17-B18-B16</x:f>
        <x:v>48098529</x:v>
      </x:c>
      <x:c r="C19" s="492" t="n">
        <x:f>C17-C18-C16</x:f>
        <x:v>137037700</x:v>
      </x:c>
      <x:c r="D19" s="492" t="n">
        <x:f>D17-D18-D16</x:f>
        <x:v>518950825</x:v>
      </x:c>
      <x:c r="E19" s="493" t="str">
        <x:v>Валовая выгода - OPEX - стоимость запуска</x:v>
      </x:c>
      <x:c r="F19" s="501"/>
      <x:c r="G19" s="501"/>
      <x:c r="H19" s="501"/>
    </x:row>
    <x:row r="20">
      <x:c r="A20" s="482" t="str">
        <x:v>ROI за 3 года</x:v>
      </x:c>
      <x:c r="B20" s="507" t="n">
        <x:f>IF(B16&gt;0,B19/B16,0)</x:f>
        <x:v>0.4935126141988229</x:v>
      </x:c>
      <x:c r="C20" s="507" t="n">
        <x:f>IF(C16&gt;0,C19/C16,0)</x:f>
        <x:v>1.577230822351384</x:v>
      </x:c>
      <x:c r="D20" s="507" t="n">
        <x:f>IF(D16&gt;0,D19/D16,0)</x:f>
        <x:v>6.725576004914412</x:v>
      </x:c>
      <x:c r="E20" s="485" t="str">
        <x:v>Чистый эффект за 3 года / стоимость запуска</x:v>
      </x:c>
    </x:row>
    <x:row r="21">
      <x:c r="A21" s="353" t="str">
        <x:v>Месяц окупаемости от старта проекта</x:v>
      </x:c>
      <x:c r="B21" s="360" t="n">
        <x:f>IF(B15&gt;0,ROUND('Inputs'!C15+B16/(B15/12),0),"N/A")</x:f>
        <x:v>32</x:v>
      </x:c>
      <x:c r="C21" s="360" t="n">
        <x:f>IF(C15&gt;0,ROUND('Inputs'!D15+C16/(C15/12),0),"N/A")</x:f>
        <x:v>22</x:v>
      </x:c>
      <x:c r="D21" s="360" t="n">
        <x:f>IF(D15&gt;0,ROUND('Inputs'!E15+D16/(D15/12),0),"N/A")</x:f>
        <x:v>13</x:v>
      </x:c>
      <x:c r="E21" s="352" t="str">
        <x:v>Месяцы разработки + стоимость запуска / месячная чистая выгода</x:v>
      </x:c>
    </x:row>
    <x:row r="22">
      <x:c r="A22" s="486" t="str">
        <x:v>NPV за 3 года</x:v>
      </x:c>
      <x:c r="B22" s="496" t="n">
        <x:f>ROUND(-B16+B15/(1+'Inputs'!C16)+B15/(1+'Inputs'!C16)^2+B15/(1+'Inputs'!C16)^3,0)</x:f>
        <x:v>1628042</x:v>
      </x:c>
      <x:c r="C22" s="496" t="n">
        <x:f>ROUND(-C16+C15/(1+'Inputs'!D16)+C15/(1+'Inputs'!D16)^2+C15/(1+'Inputs'!D16)^3,0)</x:f>
        <x:v>70344674</x:v>
      </x:c>
      <x:c r="D22" s="496" t="n">
        <x:f>ROUND(-D16+D15/(1+'Inputs'!E16)+D15/(1+'Inputs'!E16)^2+D15/(1+'Inputs'!E16)^3,0)</x:f>
        <x:v>354875656</x:v>
      </x:c>
      <x:c r="E22" s="489" t="str">
        <x:v>Чистая годовая выгода, дисконтированная по ставке сценария, минус запуск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</x:cols>
  <x:sheetData>
    <x:row r="1" ht="34" customHeight="1">
      <x:c r="A1" s="380" t="str">
        <x:v>Сценарии - чувствительность и выводы для инвесткомитета</x:v>
      </x:c>
      <x:c r="B1" s="381"/>
      <x:c r="C1" s="381"/>
      <x:c r="D1" s="381"/>
      <x:c r="E1" s="382"/>
      <x:c r="F1" s="383"/>
      <x:c r="G1" s="383"/>
      <x:c r="H1" s="383"/>
    </x:row>
    <x:row r="2">
      <x:c r="A2" s="384"/>
      <x:c r="B2" s="388"/>
      <x:c r="C2" s="388"/>
      <x:c r="D2" s="388"/>
      <x:c r="E2" s="389"/>
      <x:c r="F2" s="390"/>
      <x:c r="G2" s="390"/>
      <x:c r="H2" s="390"/>
    </x:row>
    <x:row r="3">
      <x:c r="A3" s="353"/>
      <x:c r="B3" s="351"/>
      <x:c r="C3" s="351"/>
      <x:c r="D3" s="351"/>
      <x:c r="E3" s="352"/>
    </x:row>
    <x:row r="4">
      <x:c r="A4" s="402" t="str">
        <x:v>Показатель</x:v>
      </x:c>
      <x:c r="B4" s="403" t="str">
        <x:v>Консервативный</x:v>
      </x:c>
      <x:c r="C4" s="403" t="str">
        <x:v>Базовый</x:v>
      </x:c>
      <x:c r="D4" s="403" t="str">
        <x:v>Оптимистичный</x:v>
      </x:c>
      <x:c r="E4" s="404" t="str">
        <x:v>Для чего нужен</x:v>
      </x:c>
      <x:c r="F4" s="407"/>
      <x:c r="G4" s="407"/>
      <x:c r="H4" s="407"/>
    </x:row>
    <x:row r="5">
      <x:c r="A5" s="353" t="str">
        <x:v>Доля активных пользователей</x:v>
      </x:c>
      <x:c r="B5" s="359" t="n">
        <x:f>'Inputs'!C13</x:f>
        <x:v>0.38</x:v>
      </x:c>
      <x:c r="C5" s="359" t="n">
        <x:f>'Inputs'!D13</x:f>
        <x:v>0.45</x:v>
      </x:c>
      <x:c r="D5" s="359" t="n">
        <x:f>'Inputs'!E13</x:f>
        <x:v>0.52</x:v>
      </x:c>
      <x:c r="E5" s="352" t="str">
        <x:v>Драйвер использования продукта</x:v>
      </x:c>
    </x:row>
    <x:row r="6">
      <x:c r="A6" s="353" t="str">
        <x:v>Снижение оттока</x:v>
      </x:c>
      <x:c r="B6" s="359" t="n">
        <x:f>'Inputs'!C23</x:f>
        <x:v>0.012</x:v>
      </x:c>
      <x:c r="C6" s="359" t="n">
        <x:f>'Inputs'!D23</x:f>
        <x:v>0.015</x:v>
      </x:c>
      <x:c r="D6" s="359" t="n">
        <x:f>'Inputs'!E23</x:f>
        <x:v>0.02</x:v>
      </x:c>
      <x:c r="E6" s="352" t="str">
        <x:v>Главный драйвер удержания</x:v>
      </x:c>
    </x:row>
    <x:row r="7">
      <x:c r="A7" s="353" t="str">
        <x:v>Стоимость запуска</x:v>
      </x:c>
      <x:c r="B7" s="358" t="n">
        <x:f>'Benefits'!B16</x:f>
        <x:v>97461600</x:v>
      </x:c>
      <x:c r="C7" s="358" t="n">
        <x:f>'Benefits'!C16</x:f>
        <x:v>86885000</x:v>
      </x:c>
      <x:c r="D7" s="358" t="n">
        <x:f>'Benefits'!D16</x:f>
        <x:v>77160800</x:v>
      </x:c>
      <x:c r="E7" s="352" t="str">
        <x:v>Первоначальные инвестиции</x:v>
      </x:c>
    </x:row>
    <x:row r="8">
      <x:c r="A8" s="353" t="str">
        <x:v>Годовой OPEX</x:v>
      </x:c>
      <x:c r="B8" s="358" t="n">
        <x:f>'Benefits'!B14</x:f>
        <x:v>53382400</x:v>
      </x:c>
      <x:c r="C8" s="358" t="n">
        <x:f>'Benefits'!C14</x:f>
        <x:v>54555600</x:v>
      </x:c>
      <x:c r="D8" s="358" t="n">
        <x:f>'Benefits'!D14</x:f>
        <x:v>57728800</x:v>
      </x:c>
      <x:c r="E8" s="352" t="str">
        <x:v>Ежегодная стоимость поддержки</x:v>
      </x:c>
    </x:row>
    <x:row r="9">
      <x:c r="A9" s="353" t="str">
        <x:v>Годовая валовая выгода</x:v>
      </x:c>
      <x:c r="B9" s="358" t="n">
        <x:f>'Benefits'!B13</x:f>
        <x:v>101902443</x:v>
      </x:c>
      <x:c r="C9" s="358" t="n">
        <x:f>'Benefits'!C13</x:f>
        <x:v>129196500</x:v>
      </x:c>
      <x:c r="D9" s="358" t="n">
        <x:f>'Benefits'!D13</x:f>
        <x:v>256432675</x:v>
      </x:c>
      <x:c r="E9" s="352" t="str">
        <x:v>Выгода до OPEX</x:v>
      </x:c>
    </x:row>
    <x:row r="10">
      <x:c r="A10" s="353" t="str">
        <x:v>Годовая чистая выгода</x:v>
      </x:c>
      <x:c r="B10" s="408" t="n">
        <x:f>'Benefits'!B15</x:f>
        <x:v>48520043</x:v>
      </x:c>
      <x:c r="C10" s="408" t="n">
        <x:f>'Benefits'!C15</x:f>
        <x:v>74640900</x:v>
      </x:c>
      <x:c r="D10" s="408" t="n">
        <x:f>'Benefits'!D15</x:f>
        <x:v>198703875</x:v>
      </x:c>
      <x:c r="E10" s="352" t="str">
        <x:v>Выгода после OPEX</x:v>
      </x:c>
    </x:row>
    <x:row r="11">
      <x:c r="A11" s="413" t="str">
        <x:v>Чистый эффект за 3 года</x:v>
      </x:c>
      <x:c r="B11" s="414" t="n">
        <x:f>'Benefits'!B19</x:f>
        <x:v>48098529</x:v>
      </x:c>
      <x:c r="C11" s="414" t="n">
        <x:f>'Benefits'!C19</x:f>
        <x:v>137037700</x:v>
      </x:c>
      <x:c r="D11" s="414" t="n">
        <x:f>'Benefits'!D19</x:f>
        <x:v>518950825</x:v>
      </x:c>
      <x:c r="E11" s="416" t="str">
        <x:v>После запуска и OPEX</x:v>
      </x:c>
      <x:c r="F11" s="417"/>
      <x:c r="G11" s="417"/>
      <x:c r="H11" s="417"/>
    </x:row>
    <x:row r="12">
      <x:c r="A12" s="353" t="str">
        <x:v>ROI за 3 года</x:v>
      </x:c>
      <x:c r="B12" s="418" t="n">
        <x:f>'Benefits'!B20</x:f>
        <x:v>0.4935126141988229</x:v>
      </x:c>
      <x:c r="C12" s="418" t="n">
        <x:f>'Benefits'!C20</x:f>
        <x:v>1.577230822351384</x:v>
      </x:c>
      <x:c r="D12" s="418" t="n">
        <x:f>'Benefits'!D20</x:f>
        <x:v>6.725576004914412</x:v>
      </x:c>
      <x:c r="E12" s="352" t="str">
        <x:v>Доходность / стоимость запуска</x:v>
      </x:c>
    </x:row>
    <x:row r="13">
      <x:c r="A13" s="353" t="str">
        <x:v>Месяц окупаемости</x:v>
      </x:c>
      <x:c r="B13" s="360" t="n">
        <x:f>'Benefits'!B21</x:f>
        <x:v>32</x:v>
      </x:c>
      <x:c r="C13" s="360" t="n">
        <x:f>'Benefits'!C21</x:f>
        <x:v>22</x:v>
      </x:c>
      <x:c r="D13" s="360" t="n">
        <x:f>'Benefits'!D21</x:f>
        <x:v>13</x:v>
      </x:c>
      <x:c r="E13" s="352" t="str">
        <x:v>Месяц от старта проекта</x:v>
      </x:c>
    </x:row>
    <x:row r="14">
      <x:c r="A14" s="353" t="str">
        <x:v>NPV</x:v>
      </x:c>
      <x:c r="B14" s="408" t="n">
        <x:f>'Benefits'!B22</x:f>
        <x:v>1628042</x:v>
      </x:c>
      <x:c r="C14" s="408" t="n">
        <x:f>'Benefits'!C22</x:f>
        <x:v>70344674</x:v>
      </x:c>
      <x:c r="D14" s="408" t="n">
        <x:f>'Benefits'!D22</x:f>
        <x:v>354875656</x:v>
      </x:c>
      <x:c r="E14" s="352" t="str">
        <x:v>Дисконтированный эффект за 3 года</x:v>
      </x:c>
    </x:row>
    <x:row r="15">
      <x:c r="A15" s="353" t="str">
        <x:v>Годовая валовая выгода / активный клиент</x:v>
      </x:c>
      <x:c r="B15" s="358" t="n">
        <x:f>'Benefits'!B13/'Benefits'!B6</x:f>
        <x:v>788.7185990712074</x:v>
      </x:c>
      <x:c r="C15" s="358" t="n">
        <x:f>'Benefits'!C13/'Benefits'!C6</x:f>
        <x:v>1148.4133333333334</x:v>
      </x:c>
      <x:c r="D15" s="358" t="n">
        <x:f>'Benefits'!D13/'Benefits'!D6</x:f>
        <x:v>1643.7991987179487</x:v>
      </x:c>
      <x:c r="E15" s="352" t="str">
        <x:v>Плотность выгоды до OPEX</x:v>
      </x:c>
    </x:row>
    <x:row r="16">
      <x:c r="A16" s="353" t="str">
        <x:v>Активных клиентов для break-even</x:v>
      </x:c>
      <x:c r="B16" s="360" t="n">
        <x:f>B8/B15</x:f>
        <x:v>67682.44094010582</x:v>
      </x:c>
      <x:c r="C16" s="360" t="n">
        <x:f>C8/C15</x:f>
        <x:v>47505.195574183505</x:v>
      </x:c>
      <x:c r="D16" s="360" t="n">
        <x:f>D8/D15</x:f>
        <x:v>35119.1313665468</x:v>
      </x:c>
      <x:c r="E16" s="352" t="str">
        <x:v>Сколько активных клиентов нужно, чтобы покрыть годовой OPEX</x:v>
      </x:c>
    </x:row>
    <x:row r="17">
      <x:c r="A17" s="362" t="str">
        <x:v>Подключённых клиентов для break-even</x:v>
      </x:c>
      <x:c r="B17" s="510" t="n">
        <x:f>B16/'Inputs'!C13</x:f>
        <x:v>178111.68668448902</x:v>
      </x:c>
      <x:c r="C17" s="510" t="n">
        <x:f>C16/'Inputs'!D13</x:f>
        <x:v>105567.10127596334</x:v>
      </x:c>
      <x:c r="D17" s="510" t="n">
        <x:f>D16/'Inputs'!E13</x:f>
        <x:v>67536.79108951306</x:v>
      </x:c>
      <x:c r="E17" s="364" t="str">
        <x:v>Сколько клиентов нужно подключить при заданной доле активности</x:v>
      </x:c>
    </x:row>
  </x:sheetData>
  <x:mergeCells>
    <x:mergeCell ref="A1:H1"/>
    <x:mergeCell ref="A2:H2"/>
  </x:mergeCells>
  <x:conditionalFormatting sqref="B12:D12">
    <x:cfRule type="colorScale" priority="1">
      <x:colorScale>
        <x:cfvo type="min"/>
        <x:cfvo type="percentile" val="50"/>
        <x:cfvo type="max"/>
        <x:color rgb="FFD9EAD3"/>
        <x:color rgb="FFFFF2CC"/>
        <x:color rgb="FFD9EAD3"/>
      </x:colorScale>
    </x:cfRule>
  </x:conditionalFormatting>
  <x:conditionalFormatting sqref="B14:D14">
    <x:cfRule type="colorScale" priority="2">
      <x:colorScale>
        <x:cfvo type="min"/>
        <x:cfvo type="percentile" val="50"/>
        <x:cfvo type="max"/>
        <x:color rgb="FFD9EAD3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48" hidden="0" customWidth="1"/>
  </x:cols>
  <x:sheetData>
    <x:row r="1" ht="34" customHeight="1">
      <x:c r="A1" s="380" t="str">
        <x:v>Проверки - контроль формул и здравого смысла</x:v>
      </x:c>
      <x:c r="B1" s="381"/>
      <x:c r="C1" s="381"/>
      <x:c r="D1" s="381"/>
      <x:c r="E1" s="381"/>
      <x:c r="F1" s="382"/>
      <x:c r="G1" s="383"/>
      <x:c r="H1" s="383"/>
    </x:row>
    <x:row r="2">
      <x:c r="A2" s="384"/>
      <x:c r="B2" s="388"/>
      <x:c r="C2" s="388"/>
      <x:c r="D2" s="388"/>
      <x:c r="E2" s="388"/>
      <x:c r="F2" s="389"/>
      <x:c r="G2" s="390"/>
      <x:c r="H2" s="390"/>
    </x:row>
    <x:row r="3">
      <x:c r="A3" s="353"/>
      <x:c r="B3" s="351"/>
      <x:c r="C3" s="351"/>
      <x:c r="D3" s="351"/>
      <x:c r="E3" s="351"/>
      <x:c r="F3" s="352"/>
    </x:row>
    <x:row r="4">
      <x:c r="A4" s="402" t="str">
        <x:v>Проверка</x:v>
      </x:c>
      <x:c r="B4" s="403" t="str">
        <x:v>Факт</x:v>
      </x:c>
      <x:c r="C4" s="403" t="str">
        <x:v>Ожидание</x:v>
      </x:c>
      <x:c r="D4" s="403" t="str">
        <x:v>Разница</x:v>
      </x:c>
      <x:c r="E4" s="403" t="str">
        <x:v>Статус</x:v>
      </x:c>
      <x:c r="F4" s="404" t="str">
        <x:v>Комментарий / где чинить</x:v>
      </x:c>
      <x:c r="G4" s="407"/>
      <x:c r="H4" s="407"/>
    </x:row>
    <x:row r="5">
      <x:c r="A5" s="490" t="str">
        <x:v>СТАТУС МОДЕЛИ</x:v>
      </x:c>
      <x:c r="B5" s="491" t="str">
        <x:f>IF(COUNTIF(E6:E12,"FAIL")&gt;0,"FAIL",IF(COUNTIF(E6:E12,"WARN")&gt;0,"WARN","PASS"))</x:f>
        <x:v>PASS</x:v>
      </x:c>
      <x:c r="C5" s="491" t="str"/>
      <x:c r="D5" s="491" t="str"/>
      <x:c r="E5" s="491" t="str"/>
      <x:c r="F5" s="493" t="str">
        <x:v>Итог по всем проверкам ниже</x:v>
      </x:c>
      <x:c r="G5" s="501"/>
      <x:c r="H5" s="501"/>
    </x:row>
    <x:row r="6">
      <x:c r="A6" s="353" t="str">
        <x:v>Выгода от удержания равна нулю, если снижение оттока равно нулю</x:v>
      </x:c>
      <x:c r="B6" s="351" t="n">
        <x:f>0*'Inputs'!D22</x:f>
        <x:v>0</x:v>
      </x:c>
      <x:c r="C6" s="351" t="n">
        <x:v>0</x:v>
      </x:c>
      <x:c r="D6" s="351" t="n">
        <x:f>B6-C6</x:f>
        <x:v>0</x:v>
      </x:c>
      <x:c r="E6" s="351" t="str">
        <x:f>IF(ABS(D6)&lt;1,"OK","FAIL")</x:f>
        <x:v>OK</x:v>
      </x:c>
      <x:c r="F6" s="352" t="str">
        <x:v>В Benefits строка удержания должна зависеть от снижения оттока</x:v>
      </x:c>
    </x:row>
    <x:row r="7">
      <x:c r="A7" s="353" t="str">
        <x:v>Если клиентов в пилоте 0, активных клиентов тоже 0</x:v>
      </x:c>
      <x:c r="B7" s="351" t="n">
        <x:f>0*'Inputs'!D13</x:f>
        <x:v>0</x:v>
      </x:c>
      <x:c r="C7" s="351" t="n">
        <x:v>0</x:v>
      </x:c>
      <x:c r="D7" s="351" t="n">
        <x:f>B7-C7</x:f>
        <x:v>0</x:v>
      </x:c>
      <x:c r="E7" s="351" t="str">
        <x:f>IF(ABS(D7)&lt;1,"OK","FAIL")</x:f>
        <x:v>OK</x:v>
      </x:c>
      <x:c r="F7" s="352" t="str">
        <x:v>Активные клиенты должны зависеть от pilot_clients</x:v>
      </x:c>
    </x:row>
    <x:row r="8">
      <x:c r="A8" s="353" t="str">
        <x:v>Выключение LLM уменьшает OPEX</x:v>
      </x:c>
      <x:c r="B8" s="351" t="n">
        <x:f>'Inputs'!D34*12</x:f>
        <x:v>1800000</x:v>
      </x:c>
      <x:c r="C8" s="351" t="n">
        <x:v>0</x:v>
      </x:c>
      <x:c r="D8" s="351" t="n">
        <x:f>B8-C8</x:f>
        <x:v>1800000</x:v>
      </x:c>
      <x:c r="E8" s="351" t="str">
        <x:f>IF(B8&gt;0,"OK","FAIL")</x:f>
        <x:v>OK</x:v>
      </x:c>
      <x:c r="F8" s="352" t="str">
        <x:v>Run_Cost: LLM = месячная стоимость × 12 × включено</x:v>
      </x:c>
    </x:row>
    <x:row r="9">
      <x:c r="A9" s="353" t="str">
        <x:v>Базовая стоимость запуска в диапазоне 70-95 млн ₽</x:v>
      </x:c>
      <x:c r="B9" s="358" t="n">
        <x:f>'Build_Cost'!F21</x:f>
        <x:v>86885000</x:v>
      </x:c>
      <x:c r="C9" s="358" t="n">
        <x:v>82500000</x:v>
      </x:c>
      <x:c r="D9" s="358" t="n">
        <x:f>B9-C9</x:f>
        <x:v>4385000</x:v>
      </x:c>
      <x:c r="E9" s="351" t="str">
        <x:f>IF(AND(B9&gt;=70000000,B9&lt;=95000000),"OK","WARN")</x:f>
        <x:v>OK</x:v>
      </x:c>
      <x:c r="F9" s="352" t="str">
        <x:v>Если WARN, проверить scope и зарплаты на Build_Cost</x:v>
      </x:c>
    </x:row>
    <x:row r="10">
      <x:c r="A10" s="353" t="str">
        <x:v>Базовый годовой OPEX в диапазоне 35-55 млн ₽</x:v>
      </x:c>
      <x:c r="B10" s="358" t="n">
        <x:f>'Run_Cost'!E17</x:f>
        <x:v>54555600</x:v>
      </x:c>
      <x:c r="C10" s="358" t="n">
        <x:v>45000000</x:v>
      </x:c>
      <x:c r="D10" s="358" t="n">
        <x:f>B10-C10</x:f>
        <x:v>9555600</x:v>
      </x:c>
      <x:c r="E10" s="351" t="str">
        <x:f>IF(AND(B10&gt;=35000000,B10&lt;=55000000),"OK","WARN")</x:f>
        <x:v>OK</x:v>
      </x:c>
      <x:c r="F10" s="352" t="str">
        <x:v>Если WARN, проверить поддержку и инфраструктуру</x:v>
      </x:c>
    </x:row>
    <x:row r="11">
      <x:c r="A11" s="353" t="str">
        <x:v>Выгода не должна держаться только на эквайринге</x:v>
      </x:c>
      <x:c r="B11" s="359" t="n">
        <x:f>'Benefits'!C10/'Benefits'!C13</x:f>
        <x:v>0.08557894370203527</x:v>
      </x:c>
      <x:c r="C11" s="359" t="n">
        <x:v>0.5</x:v>
      </x:c>
      <x:c r="D11" s="359" t="n">
        <x:f>B11-C11</x:f>
        <x:v>-0.4144210562979647</x:v>
      </x:c>
      <x:c r="E11" s="351" t="str">
        <x:f>IF(B11&lt;0.5,"OK","WARN")</x:f>
        <x:v>OK</x:v>
      </x:c>
      <x:c r="F11" s="352" t="str">
        <x:v>Окупаемость не должна зависеть в основном от прироста эквайринга</x:v>
      </x:c>
    </x:row>
    <x:row r="12">
      <x:c r="A12" s="362" t="str">
        <x:v>NPV в базе считается формулой</x:v>
      </x:c>
      <x:c r="B12" s="520" t="n">
        <x:f>'Benefits'!C22</x:f>
        <x:v>70344674</x:v>
      </x:c>
      <x:c r="C12" s="520" t="str">
        <x:v>формула</x:v>
      </x:c>
      <x:c r="D12" s="520" t="str"/>
      <x:c r="E12" s="363" t="str">
        <x:f>IF(ISNUMBER(B12),"OK","FAIL")</x:f>
        <x:v>OK</x:v>
      </x:c>
      <x:c r="F12" s="364" t="str">
        <x:v>Формула должна ссылаться на Benefits</x:v>
      </x:c>
    </x:row>
  </x:sheetData>
  <x:mergeCells>
    <x:mergeCell ref="A1:H1"/>
    <x:mergeCell ref="A2:H2"/>
  </x:mergeCells>
  <x:conditionalFormatting sqref="E5:E12">
    <x:cfRule type="containsText" dxfId="0" priority="1" operator="containsText" text="OK"/>
    <x:cfRule type="containsText" dxfId="1" priority="2" operator="containsText" text="WARN"/>
    <x:cfRule type="containsText" dxfId="2" priority="3" operator="containsText" text="FAIL"/>
  </x:conditionalFormatting>
  <x:pageMargins left="0.7" right="0.7" top="0.75" bottom="0.75" header="0.3" footer="0.3"/>
</x:worksheet>
</file>